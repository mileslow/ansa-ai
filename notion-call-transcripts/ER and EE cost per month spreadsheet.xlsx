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\OneDrive\Desktop\Clients\"/>
    </mc:Choice>
  </mc:AlternateContent>
  <xr:revisionPtr revIDLastSave="0" documentId="13_ncr:1_{9B2CD22D-A2B8-4AF6-AD2A-F3DA4A80A4AF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weekly" sheetId="2" r:id="rId1"/>
    <sheet name="weekly (2)" sheetId="5" r:id="rId2"/>
    <sheet name="26 pay periods" sheetId="1" r:id="rId3"/>
    <sheet name="26 pay periods (2)" sheetId="4" r:id="rId4"/>
    <sheet name="Sheet1" sheetId="3" r:id="rId5"/>
    <sheet name="24 pays precentage" sheetId="6" r:id="rId6"/>
    <sheet name="24 pays flat dolla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7" l="1"/>
  <c r="F21" i="7"/>
  <c r="F20" i="7"/>
  <c r="F19" i="7"/>
  <c r="F17" i="7"/>
  <c r="F16" i="7"/>
  <c r="F15" i="7"/>
  <c r="F14" i="7"/>
  <c r="F12" i="7"/>
  <c r="F11" i="7"/>
  <c r="F10" i="7"/>
  <c r="F9" i="7"/>
  <c r="F7" i="7"/>
  <c r="F6" i="7"/>
  <c r="F5" i="7"/>
  <c r="F4" i="7"/>
  <c r="I22" i="7"/>
  <c r="G22" i="7"/>
  <c r="E22" i="7"/>
  <c r="J22" i="7" s="1"/>
  <c r="I21" i="7"/>
  <c r="G21" i="7"/>
  <c r="E21" i="7"/>
  <c r="J21" i="7" s="1"/>
  <c r="K21" i="7" s="1"/>
  <c r="I20" i="7"/>
  <c r="G20" i="7"/>
  <c r="E20" i="7"/>
  <c r="I19" i="7"/>
  <c r="I23" i="7" s="1"/>
  <c r="G19" i="7"/>
  <c r="E19" i="7"/>
  <c r="J19" i="7" s="1"/>
  <c r="K17" i="7"/>
  <c r="I17" i="7"/>
  <c r="G17" i="7"/>
  <c r="E17" i="7"/>
  <c r="J17" i="7" s="1"/>
  <c r="K16" i="7"/>
  <c r="I16" i="7"/>
  <c r="G16" i="7"/>
  <c r="E16" i="7"/>
  <c r="J16" i="7" s="1"/>
  <c r="K15" i="7"/>
  <c r="I15" i="7"/>
  <c r="G15" i="7"/>
  <c r="E15" i="7"/>
  <c r="J15" i="7" s="1"/>
  <c r="K14" i="7"/>
  <c r="K18" i="7" s="1"/>
  <c r="I14" i="7"/>
  <c r="I18" i="7" s="1"/>
  <c r="G14" i="7"/>
  <c r="E14" i="7"/>
  <c r="J14" i="7" s="1"/>
  <c r="I13" i="7"/>
  <c r="K12" i="7"/>
  <c r="I12" i="7"/>
  <c r="G12" i="7"/>
  <c r="E12" i="7"/>
  <c r="J12" i="7" s="1"/>
  <c r="K11" i="7"/>
  <c r="I11" i="7"/>
  <c r="G11" i="7"/>
  <c r="E11" i="7"/>
  <c r="J11" i="7" s="1"/>
  <c r="K10" i="7"/>
  <c r="I10" i="7"/>
  <c r="G10" i="7"/>
  <c r="E10" i="7"/>
  <c r="J10" i="7" s="1"/>
  <c r="K9" i="7"/>
  <c r="K13" i="7" s="1"/>
  <c r="I9" i="7"/>
  <c r="G9" i="7"/>
  <c r="E9" i="7"/>
  <c r="J9" i="7" s="1"/>
  <c r="K7" i="7"/>
  <c r="I7" i="7"/>
  <c r="G7" i="7"/>
  <c r="E7" i="7"/>
  <c r="J7" i="7" s="1"/>
  <c r="K6" i="7"/>
  <c r="I6" i="7"/>
  <c r="G6" i="7"/>
  <c r="E6" i="7"/>
  <c r="J6" i="7" s="1"/>
  <c r="K5" i="7"/>
  <c r="I5" i="7"/>
  <c r="G5" i="7"/>
  <c r="E5" i="7"/>
  <c r="J5" i="7" s="1"/>
  <c r="K4" i="7"/>
  <c r="K8" i="7" s="1"/>
  <c r="I4" i="7"/>
  <c r="I8" i="7" s="1"/>
  <c r="I24" i="7" s="1"/>
  <c r="G4" i="7"/>
  <c r="E4" i="7"/>
  <c r="J4" i="7" s="1"/>
  <c r="I22" i="6"/>
  <c r="E21" i="6"/>
  <c r="F21" i="6" s="1"/>
  <c r="I20" i="6"/>
  <c r="E19" i="6"/>
  <c r="F19" i="6" s="1"/>
  <c r="K17" i="6"/>
  <c r="I17" i="6"/>
  <c r="E17" i="6"/>
  <c r="F17" i="6" s="1"/>
  <c r="K16" i="6"/>
  <c r="I16" i="6"/>
  <c r="K15" i="6"/>
  <c r="I15" i="6"/>
  <c r="K14" i="6"/>
  <c r="E14" i="6"/>
  <c r="J14" i="6" s="1"/>
  <c r="I14" i="6"/>
  <c r="K12" i="6"/>
  <c r="E12" i="6"/>
  <c r="F12" i="6" s="1"/>
  <c r="K11" i="6"/>
  <c r="E11" i="6"/>
  <c r="F11" i="6" s="1"/>
  <c r="K10" i="6"/>
  <c r="I10" i="6"/>
  <c r="E10" i="6"/>
  <c r="J10" i="6" s="1"/>
  <c r="K9" i="6"/>
  <c r="I9" i="6"/>
  <c r="E9" i="6"/>
  <c r="F9" i="6" s="1"/>
  <c r="K7" i="6"/>
  <c r="I7" i="6"/>
  <c r="K6" i="6"/>
  <c r="E6" i="6"/>
  <c r="F6" i="6" s="1"/>
  <c r="K5" i="6"/>
  <c r="I5" i="6"/>
  <c r="K4" i="6"/>
  <c r="E4" i="6"/>
  <c r="F4" i="6" s="1"/>
  <c r="G17" i="5"/>
  <c r="G16" i="5"/>
  <c r="G15" i="5"/>
  <c r="G14" i="5"/>
  <c r="G12" i="5"/>
  <c r="G11" i="5"/>
  <c r="G10" i="5"/>
  <c r="G9" i="5"/>
  <c r="G7" i="5"/>
  <c r="G6" i="5"/>
  <c r="G5" i="5"/>
  <c r="G4" i="5"/>
  <c r="I11" i="4"/>
  <c r="G22" i="4"/>
  <c r="G21" i="4"/>
  <c r="G20" i="4"/>
  <c r="G19" i="4"/>
  <c r="G17" i="4"/>
  <c r="G15" i="4"/>
  <c r="G16" i="4"/>
  <c r="G14" i="4"/>
  <c r="G12" i="4"/>
  <c r="G11" i="4"/>
  <c r="G10" i="4"/>
  <c r="G9" i="4"/>
  <c r="G7" i="4"/>
  <c r="G6" i="4"/>
  <c r="G5" i="4"/>
  <c r="G4" i="4"/>
  <c r="K22" i="5"/>
  <c r="D22" i="5"/>
  <c r="I22" i="5" s="1"/>
  <c r="K21" i="5"/>
  <c r="D21" i="5"/>
  <c r="E21" i="5" s="1"/>
  <c r="K20" i="5"/>
  <c r="D20" i="5"/>
  <c r="I20" i="5" s="1"/>
  <c r="D19" i="5"/>
  <c r="E19" i="5" s="1"/>
  <c r="K17" i="5"/>
  <c r="E17" i="5"/>
  <c r="K16" i="5"/>
  <c r="I16" i="5"/>
  <c r="K15" i="5"/>
  <c r="I15" i="5"/>
  <c r="E15" i="5"/>
  <c r="K14" i="5"/>
  <c r="I14" i="5"/>
  <c r="K12" i="5"/>
  <c r="I12" i="5"/>
  <c r="K11" i="5"/>
  <c r="I11" i="5"/>
  <c r="K10" i="5"/>
  <c r="I10" i="5"/>
  <c r="K9" i="5"/>
  <c r="K13" i="5" s="1"/>
  <c r="I9" i="5"/>
  <c r="K7" i="5"/>
  <c r="I7" i="5"/>
  <c r="K6" i="5"/>
  <c r="E6" i="5"/>
  <c r="K5" i="5"/>
  <c r="E5" i="5"/>
  <c r="J5" i="5" s="1"/>
  <c r="I5" i="5"/>
  <c r="K4" i="5"/>
  <c r="E22" i="4"/>
  <c r="F22" i="4" s="1"/>
  <c r="I22" i="4"/>
  <c r="E21" i="4"/>
  <c r="E20" i="4"/>
  <c r="J20" i="4" s="1"/>
  <c r="I20" i="4"/>
  <c r="E19" i="4"/>
  <c r="K17" i="4"/>
  <c r="I17" i="4"/>
  <c r="K16" i="4"/>
  <c r="I16" i="4"/>
  <c r="E16" i="4"/>
  <c r="K15" i="4"/>
  <c r="E15" i="4"/>
  <c r="K14" i="4"/>
  <c r="E14" i="4"/>
  <c r="K12" i="4"/>
  <c r="I12" i="4"/>
  <c r="E12" i="4"/>
  <c r="K11" i="4"/>
  <c r="E11" i="4"/>
  <c r="K10" i="4"/>
  <c r="I10" i="4"/>
  <c r="K9" i="4"/>
  <c r="I9" i="4"/>
  <c r="K7" i="4"/>
  <c r="E7" i="4"/>
  <c r="J7" i="4" s="1"/>
  <c r="I7" i="4"/>
  <c r="K6" i="4"/>
  <c r="E6" i="4"/>
  <c r="K5" i="4"/>
  <c r="K4" i="4"/>
  <c r="E4" i="4"/>
  <c r="D19" i="1"/>
  <c r="D20" i="1"/>
  <c r="I20" i="1" s="1"/>
  <c r="D21" i="1"/>
  <c r="I21" i="1" s="1"/>
  <c r="D22" i="1"/>
  <c r="E22" i="1" s="1"/>
  <c r="J22" i="1" s="1"/>
  <c r="D14" i="1"/>
  <c r="D15" i="1"/>
  <c r="I15" i="1" s="1"/>
  <c r="D17" i="1"/>
  <c r="E17" i="1" s="1"/>
  <c r="J17" i="1" s="1"/>
  <c r="D16" i="1"/>
  <c r="E16" i="1" s="1"/>
  <c r="J16" i="1" s="1"/>
  <c r="D12" i="1"/>
  <c r="I12" i="1" s="1"/>
  <c r="D11" i="1"/>
  <c r="E11" i="1" s="1"/>
  <c r="J11" i="1" s="1"/>
  <c r="D10" i="1"/>
  <c r="I10" i="1" s="1"/>
  <c r="D9" i="1"/>
  <c r="I9" i="1" s="1"/>
  <c r="D7" i="1"/>
  <c r="E7" i="1" s="1"/>
  <c r="J7" i="1" s="1"/>
  <c r="D6" i="1"/>
  <c r="I6" i="1" s="1"/>
  <c r="D5" i="1"/>
  <c r="I5" i="1" s="1"/>
  <c r="D4" i="1"/>
  <c r="I4" i="1" s="1"/>
  <c r="K22" i="2"/>
  <c r="K21" i="2"/>
  <c r="K20" i="2"/>
  <c r="D22" i="2"/>
  <c r="E22" i="2" s="1"/>
  <c r="F22" i="2" s="1"/>
  <c r="D21" i="2"/>
  <c r="E21" i="2" s="1"/>
  <c r="F21" i="2" s="1"/>
  <c r="D20" i="2"/>
  <c r="E20" i="2" s="1"/>
  <c r="F20" i="2" s="1"/>
  <c r="D19" i="2"/>
  <c r="I19" i="2" s="1"/>
  <c r="K17" i="2"/>
  <c r="D17" i="2"/>
  <c r="I17" i="2" s="1"/>
  <c r="K16" i="2"/>
  <c r="D16" i="2"/>
  <c r="E16" i="2" s="1"/>
  <c r="F16" i="2" s="1"/>
  <c r="K15" i="2"/>
  <c r="D15" i="2"/>
  <c r="I15" i="2" s="1"/>
  <c r="K14" i="2"/>
  <c r="D14" i="2"/>
  <c r="E14" i="2" s="1"/>
  <c r="F14" i="2" s="1"/>
  <c r="K12" i="2"/>
  <c r="D12" i="2"/>
  <c r="I12" i="2" s="1"/>
  <c r="K11" i="2"/>
  <c r="D11" i="2"/>
  <c r="I11" i="2" s="1"/>
  <c r="K10" i="2"/>
  <c r="D10" i="2"/>
  <c r="E10" i="2" s="1"/>
  <c r="F10" i="2" s="1"/>
  <c r="K9" i="2"/>
  <c r="D9" i="2"/>
  <c r="I9" i="2" s="1"/>
  <c r="K7" i="2"/>
  <c r="D7" i="2"/>
  <c r="E7" i="2" s="1"/>
  <c r="K6" i="2"/>
  <c r="D6" i="2"/>
  <c r="I6" i="2" s="1"/>
  <c r="K5" i="2"/>
  <c r="D5" i="2"/>
  <c r="I5" i="2" s="1"/>
  <c r="K4" i="2"/>
  <c r="D4" i="2"/>
  <c r="I4" i="2" s="1"/>
  <c r="K17" i="1"/>
  <c r="K16" i="1"/>
  <c r="K15" i="1"/>
  <c r="K14" i="1"/>
  <c r="K12" i="1"/>
  <c r="K11" i="1"/>
  <c r="K10" i="1"/>
  <c r="K9" i="1"/>
  <c r="K7" i="1"/>
  <c r="K6" i="1"/>
  <c r="K5" i="1"/>
  <c r="K4" i="1"/>
  <c r="K18" i="6" l="1"/>
  <c r="E16" i="6"/>
  <c r="I18" i="6"/>
  <c r="E15" i="6"/>
  <c r="F15" i="6" s="1"/>
  <c r="F14" i="6"/>
  <c r="K13" i="6"/>
  <c r="F10" i="6"/>
  <c r="K8" i="6"/>
  <c r="J18" i="7"/>
  <c r="J23" i="7"/>
  <c r="K19" i="7"/>
  <c r="J8" i="7"/>
  <c r="J13" i="7"/>
  <c r="K22" i="7"/>
  <c r="J20" i="7"/>
  <c r="K20" i="7" s="1"/>
  <c r="J19" i="6"/>
  <c r="J4" i="6"/>
  <c r="J6" i="6"/>
  <c r="J12" i="6"/>
  <c r="J21" i="6"/>
  <c r="J11" i="6"/>
  <c r="I4" i="6"/>
  <c r="E5" i="6"/>
  <c r="F5" i="6" s="1"/>
  <c r="I6" i="6"/>
  <c r="E7" i="6"/>
  <c r="F7" i="6" s="1"/>
  <c r="J9" i="6"/>
  <c r="I12" i="6"/>
  <c r="I13" i="6" s="1"/>
  <c r="J17" i="6"/>
  <c r="I19" i="6"/>
  <c r="E20" i="6"/>
  <c r="F20" i="6" s="1"/>
  <c r="I21" i="6"/>
  <c r="E22" i="6"/>
  <c r="F22" i="6" s="1"/>
  <c r="I13" i="5"/>
  <c r="E12" i="5"/>
  <c r="K8" i="5"/>
  <c r="E7" i="5"/>
  <c r="J7" i="5" s="1"/>
  <c r="K18" i="5"/>
  <c r="I17" i="5"/>
  <c r="I18" i="5" s="1"/>
  <c r="E14" i="5"/>
  <c r="J14" i="5" s="1"/>
  <c r="I6" i="5"/>
  <c r="E10" i="5"/>
  <c r="E16" i="5"/>
  <c r="J16" i="5" s="1"/>
  <c r="K18" i="4"/>
  <c r="I21" i="4"/>
  <c r="K20" i="4"/>
  <c r="I19" i="4"/>
  <c r="J16" i="4"/>
  <c r="F16" i="4"/>
  <c r="J14" i="4"/>
  <c r="F14" i="4"/>
  <c r="I14" i="4"/>
  <c r="E10" i="4"/>
  <c r="I13" i="4"/>
  <c r="K13" i="4"/>
  <c r="K8" i="4"/>
  <c r="I6" i="4"/>
  <c r="I4" i="4"/>
  <c r="F15" i="5"/>
  <c r="J15" i="5"/>
  <c r="J21" i="5"/>
  <c r="F21" i="5"/>
  <c r="J19" i="5"/>
  <c r="F19" i="5"/>
  <c r="F17" i="5"/>
  <c r="J17" i="5"/>
  <c r="F6" i="5"/>
  <c r="J6" i="5"/>
  <c r="F5" i="5"/>
  <c r="E9" i="5"/>
  <c r="E11" i="5"/>
  <c r="I19" i="5"/>
  <c r="E20" i="5"/>
  <c r="I21" i="5"/>
  <c r="E22" i="5"/>
  <c r="J21" i="4"/>
  <c r="F21" i="4"/>
  <c r="J12" i="4"/>
  <c r="F12" i="4"/>
  <c r="F11" i="4"/>
  <c r="J11" i="4"/>
  <c r="J19" i="4"/>
  <c r="F19" i="4"/>
  <c r="F4" i="4"/>
  <c r="J4" i="4"/>
  <c r="F15" i="4"/>
  <c r="J15" i="4"/>
  <c r="F6" i="4"/>
  <c r="J6" i="4"/>
  <c r="F7" i="4"/>
  <c r="E9" i="4"/>
  <c r="E17" i="4"/>
  <c r="F20" i="4"/>
  <c r="I15" i="4"/>
  <c r="J22" i="4"/>
  <c r="K22" i="4" s="1"/>
  <c r="E21" i="1"/>
  <c r="J21" i="1" s="1"/>
  <c r="K21" i="1" s="1"/>
  <c r="I16" i="1"/>
  <c r="I22" i="2"/>
  <c r="I21" i="2"/>
  <c r="I20" i="2"/>
  <c r="E11" i="2"/>
  <c r="F11" i="2" s="1"/>
  <c r="I10" i="2"/>
  <c r="I13" i="2" s="1"/>
  <c r="I7" i="2"/>
  <c r="I8" i="2" s="1"/>
  <c r="J7" i="2"/>
  <c r="F7" i="2"/>
  <c r="I16" i="2"/>
  <c r="F17" i="1"/>
  <c r="K13" i="2"/>
  <c r="E19" i="2"/>
  <c r="E17" i="2"/>
  <c r="E15" i="2"/>
  <c r="K18" i="2"/>
  <c r="I14" i="2"/>
  <c r="E9" i="2"/>
  <c r="K8" i="2"/>
  <c r="E5" i="2"/>
  <c r="J10" i="2"/>
  <c r="J14" i="2"/>
  <c r="J21" i="2"/>
  <c r="J22" i="2"/>
  <c r="J20" i="2"/>
  <c r="J16" i="2"/>
  <c r="E12" i="2"/>
  <c r="F12" i="2" s="1"/>
  <c r="E4" i="2"/>
  <c r="F4" i="2" s="1"/>
  <c r="E6" i="2"/>
  <c r="F6" i="2" s="1"/>
  <c r="F22" i="1"/>
  <c r="I22" i="1"/>
  <c r="K22" i="1" s="1"/>
  <c r="F21" i="1"/>
  <c r="I17" i="1"/>
  <c r="F16" i="1"/>
  <c r="F11" i="1"/>
  <c r="F7" i="1"/>
  <c r="K13" i="1"/>
  <c r="E15" i="1"/>
  <c r="I7" i="1"/>
  <c r="K8" i="1" s="1"/>
  <c r="E12" i="1"/>
  <c r="E10" i="1"/>
  <c r="E9" i="1"/>
  <c r="E6" i="1"/>
  <c r="E5" i="1"/>
  <c r="E4" i="1"/>
  <c r="I13" i="1"/>
  <c r="K21" i="6" l="1"/>
  <c r="J15" i="6"/>
  <c r="J16" i="6"/>
  <c r="J18" i="6" s="1"/>
  <c r="F16" i="6"/>
  <c r="K23" i="7"/>
  <c r="K24" i="7" s="1"/>
  <c r="J24" i="7"/>
  <c r="K19" i="6"/>
  <c r="I23" i="6"/>
  <c r="J7" i="6"/>
  <c r="J22" i="6"/>
  <c r="K22" i="6" s="1"/>
  <c r="J5" i="6"/>
  <c r="J20" i="6"/>
  <c r="K20" i="6" s="1"/>
  <c r="J13" i="6"/>
  <c r="I8" i="6"/>
  <c r="F14" i="5"/>
  <c r="J10" i="5"/>
  <c r="F10" i="5"/>
  <c r="J12" i="5"/>
  <c r="F12" i="5"/>
  <c r="F16" i="5"/>
  <c r="F7" i="5"/>
  <c r="J18" i="5"/>
  <c r="I23" i="4"/>
  <c r="K21" i="4"/>
  <c r="I18" i="4"/>
  <c r="J23" i="4"/>
  <c r="J10" i="4"/>
  <c r="F10" i="4"/>
  <c r="K19" i="5"/>
  <c r="K23" i="5" s="1"/>
  <c r="K24" i="5" s="1"/>
  <c r="I23" i="5"/>
  <c r="F20" i="5"/>
  <c r="J20" i="5"/>
  <c r="F11" i="5"/>
  <c r="J11" i="5"/>
  <c r="F9" i="5"/>
  <c r="J9" i="5"/>
  <c r="F22" i="5"/>
  <c r="J22" i="5"/>
  <c r="F9" i="4"/>
  <c r="J9" i="4"/>
  <c r="K19" i="4"/>
  <c r="K23" i="4" s="1"/>
  <c r="K24" i="4" s="1"/>
  <c r="F17" i="4"/>
  <c r="J17" i="4"/>
  <c r="J18" i="4" s="1"/>
  <c r="I23" i="2"/>
  <c r="J11" i="2"/>
  <c r="I18" i="2"/>
  <c r="J19" i="2"/>
  <c r="F19" i="2"/>
  <c r="J17" i="2"/>
  <c r="F17" i="2"/>
  <c r="J15" i="2"/>
  <c r="F15" i="2"/>
  <c r="J9" i="2"/>
  <c r="F9" i="2"/>
  <c r="J5" i="2"/>
  <c r="F5" i="2"/>
  <c r="J4" i="2"/>
  <c r="J12" i="2"/>
  <c r="J6" i="2"/>
  <c r="J15" i="1"/>
  <c r="K18" i="1" s="1"/>
  <c r="F15" i="1"/>
  <c r="J12" i="1"/>
  <c r="F12" i="1"/>
  <c r="J10" i="1"/>
  <c r="F10" i="1"/>
  <c r="J9" i="1"/>
  <c r="F9" i="1"/>
  <c r="J6" i="1"/>
  <c r="F6" i="1"/>
  <c r="J5" i="1"/>
  <c r="F5" i="1"/>
  <c r="J4" i="1"/>
  <c r="F4" i="1"/>
  <c r="I8" i="1"/>
  <c r="J8" i="6" l="1"/>
  <c r="J23" i="6"/>
  <c r="I24" i="6"/>
  <c r="K23" i="6"/>
  <c r="K24" i="6" s="1"/>
  <c r="J23" i="5"/>
  <c r="J13" i="4"/>
  <c r="J13" i="5"/>
  <c r="I24" i="2"/>
  <c r="J18" i="2"/>
  <c r="J23" i="2"/>
  <c r="K19" i="2"/>
  <c r="K23" i="2" s="1"/>
  <c r="K24" i="2" s="1"/>
  <c r="J13" i="2"/>
  <c r="J8" i="2"/>
  <c r="J8" i="1"/>
  <c r="J13" i="1"/>
  <c r="J24" i="6" l="1"/>
  <c r="J24" i="2"/>
  <c r="I19" i="1"/>
  <c r="I23" i="1" l="1"/>
  <c r="E19" i="1"/>
  <c r="J19" i="1" l="1"/>
  <c r="K19" i="1" s="1"/>
  <c r="F19" i="1"/>
  <c r="E14" i="1" l="1"/>
  <c r="J14" i="1" s="1"/>
  <c r="J18" i="1" s="1"/>
  <c r="I14" i="1"/>
  <c r="I18" i="1" s="1"/>
  <c r="I24" i="1" s="1"/>
  <c r="F14" i="1" l="1"/>
  <c r="E20" i="1"/>
  <c r="J20" i="1" s="1"/>
  <c r="F20" i="1" l="1"/>
  <c r="J23" i="1"/>
  <c r="J24" i="1" s="1"/>
  <c r="K20" i="1"/>
  <c r="K23" i="1" s="1"/>
  <c r="K24" i="1" s="1"/>
  <c r="E5" i="4"/>
  <c r="J5" i="4" s="1"/>
  <c r="J8" i="4" s="1"/>
  <c r="J24" i="4" s="1"/>
  <c r="I5" i="4"/>
  <c r="I8" i="4" s="1"/>
  <c r="I24" i="4" s="1"/>
  <c r="F5" i="4" l="1"/>
  <c r="E4" i="5"/>
  <c r="F4" i="5" l="1"/>
  <c r="J4" i="5"/>
  <c r="J8" i="5" s="1"/>
  <c r="J24" i="5" s="1"/>
  <c r="I4" i="5"/>
  <c r="I8" i="5" s="1"/>
  <c r="I24" i="5" s="1"/>
</calcChain>
</file>

<file path=xl/sharedStrings.xml><?xml version="1.0" encoding="utf-8"?>
<sst xmlns="http://schemas.openxmlformats.org/spreadsheetml/2006/main" count="229" uniqueCount="48">
  <si>
    <r>
      <rPr>
        <b/>
        <sz val="11"/>
        <color rgb="FF231F20"/>
        <rFont val="Cambria"/>
        <family val="1"/>
      </rPr>
      <t>Plan</t>
    </r>
  </si>
  <si>
    <r>
      <rPr>
        <b/>
        <sz val="11"/>
        <color rgb="FF231F20"/>
        <rFont val="Cambria"/>
        <family val="1"/>
      </rPr>
      <t>Tier</t>
    </r>
  </si>
  <si>
    <r>
      <rPr>
        <b/>
        <sz val="11"/>
        <color rgb="FF231F20"/>
        <rFont val="Cambria"/>
        <family val="1"/>
      </rPr>
      <t>Monthly Premium</t>
    </r>
  </si>
  <si>
    <r>
      <rPr>
        <b/>
        <sz val="11"/>
        <color rgb="FF231F20"/>
        <rFont val="Cambria"/>
        <family val="1"/>
      </rPr>
      <t>ER Cost</t>
    </r>
  </si>
  <si>
    <r>
      <rPr>
        <b/>
        <sz val="11"/>
        <color rgb="FF231F20"/>
        <rFont val="Cambria"/>
        <family val="1"/>
      </rPr>
      <t>EE Cost</t>
    </r>
  </si>
  <si>
    <r>
      <rPr>
        <b/>
        <sz val="11"/>
        <color rgb="FF231F20"/>
        <rFont val="Cambria"/>
        <family val="1"/>
      </rPr>
      <t>ER %</t>
    </r>
  </si>
  <si>
    <r>
      <rPr>
        <b/>
        <sz val="11"/>
        <color rgb="FF231F20"/>
        <rFont val="Cambria"/>
        <family val="1"/>
      </rPr>
      <t>ER Annual Total Cost</t>
    </r>
  </si>
  <si>
    <r>
      <rPr>
        <b/>
        <sz val="11"/>
        <color rgb="FF231F20"/>
        <rFont val="Cambria"/>
        <family val="1"/>
      </rPr>
      <t>EE Annual Total Cost</t>
    </r>
  </si>
  <si>
    <r>
      <rPr>
        <b/>
        <sz val="11"/>
        <color rgb="FF231F20"/>
        <rFont val="Cambria"/>
        <family val="1"/>
      </rPr>
      <t xml:space="preserve">%
</t>
    </r>
    <r>
      <rPr>
        <b/>
        <sz val="11"/>
        <color rgb="FF231F20"/>
        <rFont val="Cambria"/>
        <family val="1"/>
      </rPr>
      <t>enrolled</t>
    </r>
  </si>
  <si>
    <r>
      <rPr>
        <sz val="11"/>
        <color rgb="FF231F20"/>
        <rFont val="Cambria"/>
        <family val="1"/>
      </rPr>
      <t>EE</t>
    </r>
  </si>
  <si>
    <r>
      <rPr>
        <sz val="11"/>
        <color rgb="FF231F20"/>
        <rFont val="Cambria"/>
        <family val="1"/>
      </rPr>
      <t>EE+Spouse</t>
    </r>
  </si>
  <si>
    <r>
      <rPr>
        <sz val="11"/>
        <color rgb="FF231F20"/>
        <rFont val="Cambria"/>
        <family val="1"/>
      </rPr>
      <t>EE+Children</t>
    </r>
  </si>
  <si>
    <r>
      <rPr>
        <sz val="11"/>
        <color rgb="FF231F20"/>
        <rFont val="Cambria"/>
        <family val="1"/>
      </rPr>
      <t>EE+Family</t>
    </r>
  </si>
  <si>
    <r>
      <rPr>
        <b/>
        <sz val="11"/>
        <color rgb="FF231F20"/>
        <rFont val="Cambria"/>
        <family val="1"/>
      </rPr>
      <t>Plan 1 Total</t>
    </r>
  </si>
  <si>
    <r>
      <rPr>
        <b/>
        <sz val="11"/>
        <color rgb="FF231F20"/>
        <rFont val="Cambria"/>
        <family val="1"/>
      </rPr>
      <t>Plan 2 Total</t>
    </r>
  </si>
  <si>
    <r>
      <rPr>
        <b/>
        <sz val="11"/>
        <color rgb="FF231F20"/>
        <rFont val="Cambria"/>
        <family val="1"/>
      </rPr>
      <t>Plan 3 Total</t>
    </r>
  </si>
  <si>
    <r>
      <rPr>
        <b/>
        <sz val="11"/>
        <color rgb="FF231F20"/>
        <rFont val="Cambria"/>
        <family val="1"/>
      </rPr>
      <t>Plan 4 Total</t>
    </r>
  </si>
  <si>
    <r>
      <rPr>
        <b/>
        <sz val="11"/>
        <color rgb="FF231F20"/>
        <rFont val="Cambria"/>
        <family val="1"/>
      </rPr>
      <t>Grand Total</t>
    </r>
  </si>
  <si>
    <r>
      <rPr>
        <b/>
        <sz val="8"/>
        <color rgb="FF231F20"/>
        <rFont val="Cambria"/>
        <family val="1"/>
      </rPr>
      <t># Enrolled</t>
    </r>
  </si>
  <si>
    <r>
      <rPr>
        <b/>
        <sz val="8"/>
        <color rgb="FF231F20"/>
        <rFont val="Cambria"/>
        <family val="1"/>
      </rPr>
      <t>Total Annual Plan Premiums</t>
    </r>
  </si>
  <si>
    <t xml:space="preserve">EE Per Pay Period </t>
  </si>
  <si>
    <t>2025  Health Plan Costs</t>
  </si>
  <si>
    <t xml:space="preserve"> 2024  vs 2025 Medical Cost Summary</t>
  </si>
  <si>
    <t>Bronze 4 Manager 2024</t>
  </si>
  <si>
    <t>Bronze 4 Manager 2025</t>
  </si>
  <si>
    <t>2025 Renewal Medical Cost Summary</t>
  </si>
  <si>
    <t>DBOER 4 Dental 2024</t>
  </si>
  <si>
    <t>DBOER 4 Dental 2025</t>
  </si>
  <si>
    <t>Platinum Manager 2025 to 2026</t>
  </si>
  <si>
    <t>Silver 19 2025 to 2026</t>
  </si>
  <si>
    <t>Gold 6 Manager 2025 to 2026</t>
  </si>
  <si>
    <t>Bronze 4 2025 to 2026</t>
  </si>
  <si>
    <t>Healthy NY 2025</t>
  </si>
  <si>
    <t>Healthy NY 2026</t>
  </si>
  <si>
    <t>Excellus Dental DBOE-1 2025</t>
  </si>
  <si>
    <t>Excellus Dental DBOE-1 2026</t>
  </si>
  <si>
    <t>2025 vs 2026 plans and deductions</t>
  </si>
  <si>
    <t xml:space="preserve"> 2025 vs 2026 Medical, Dental and Vision Cost Summary</t>
  </si>
  <si>
    <t>Bronze 4  2026</t>
  </si>
  <si>
    <t>Standard Gold 2026</t>
  </si>
  <si>
    <t>Gold 6 2026</t>
  </si>
  <si>
    <t>2026 Plan Year Costs</t>
  </si>
  <si>
    <t xml:space="preserve">Platinum 2 </t>
  </si>
  <si>
    <t xml:space="preserve">Gold 6 </t>
  </si>
  <si>
    <t xml:space="preserve">Silver 19 </t>
  </si>
  <si>
    <t xml:space="preserve">Bronze 4 </t>
  </si>
  <si>
    <t>08.01.2025 to 07.31.2026 Non Manager Deductions 24 Pay Periods</t>
  </si>
  <si>
    <t xml:space="preserve">  Health Plan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</si>
</sst>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\$0.00"/>
    <numFmt numFmtId="165" formatCode="\$#,##0"/>
    <numFmt numFmtId="166" formatCode="\$#,##0.00"/>
    <numFmt numFmtId="167" formatCode="\$0"/>
  </numFmts>
  <fonts count="18" x14ac:knownFonts="1">
    <font>
      <sz val="10"/>
      <color rgb="FF000000"/>
      <name val="Times New Roman"/>
      <charset val="204"/>
    </font>
    <font>
      <b/>
      <i/>
      <sz val="11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1"/>
      <color rgb="FF231F20"/>
      <name val="Cambria"/>
      <family val="2"/>
    </font>
    <font>
      <b/>
      <sz val="11"/>
      <color rgb="FF231F20"/>
      <name val="Cambria"/>
      <family val="2"/>
    </font>
    <font>
      <sz val="10"/>
      <name val="Arial"/>
      <family val="2"/>
    </font>
    <font>
      <b/>
      <i/>
      <sz val="11"/>
      <color rgb="FFFFFFFF"/>
      <name val="Cambria"/>
      <family val="1"/>
    </font>
    <font>
      <b/>
      <sz val="11"/>
      <color rgb="FF231F20"/>
      <name val="Cambria"/>
      <family val="1"/>
    </font>
    <font>
      <sz val="11"/>
      <color rgb="FF231F20"/>
      <name val="Cambria"/>
      <family val="1"/>
    </font>
    <font>
      <sz val="10"/>
      <color rgb="FF162A53"/>
      <name val="Arial"/>
      <family val="2"/>
    </font>
    <font>
      <b/>
      <sz val="8"/>
      <name val="Cambria"/>
      <family val="1"/>
    </font>
    <font>
      <b/>
      <sz val="8"/>
      <color rgb="FF231F20"/>
      <name val="Cambria"/>
      <family val="1"/>
    </font>
    <font>
      <sz val="18"/>
      <color rgb="FF162A53"/>
      <name val="Calibri"/>
      <family val="2"/>
    </font>
    <font>
      <sz val="18"/>
      <name val="Calibri"/>
      <family val="2"/>
    </font>
    <font>
      <b/>
      <sz val="9"/>
      <color rgb="FF231F20"/>
      <name val="Cambria"/>
      <family val="1"/>
    </font>
    <font>
      <b/>
      <sz val="9"/>
      <name val="Cambria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56093"/>
      </patternFill>
    </fill>
    <fill>
      <patternFill patternType="solid">
        <fgColor rgb="FFC7C8CA"/>
      </patternFill>
    </fill>
    <fill>
      <patternFill patternType="solid">
        <fgColor rgb="FFB8CBE3"/>
      </patternFill>
    </fill>
  </fills>
  <borders count="8">
    <border>
      <left/>
      <right/>
      <top/>
      <bottom/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left" vertical="center" wrapText="1" indent="2"/>
    </xf>
    <xf numFmtId="0" fontId="0" fillId="3" borderId="3" xfId="0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left" vertical="top" indent="2" shrinkToFit="1"/>
    </xf>
    <xf numFmtId="9" fontId="5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65" fontId="4" fillId="0" borderId="3" xfId="0" applyNumberFormat="1" applyFont="1" applyBorder="1" applyAlignment="1">
      <alignment horizontal="center" vertical="top" shrinkToFit="1"/>
    </xf>
    <xf numFmtId="165" fontId="4" fillId="0" borderId="3" xfId="0" applyNumberFormat="1" applyFont="1" applyBorder="1" applyAlignment="1">
      <alignment horizontal="left" vertical="top" indent="2" shrinkToFit="1"/>
    </xf>
    <xf numFmtId="166" fontId="4" fillId="0" borderId="3" xfId="0" applyNumberFormat="1" applyFont="1" applyBorder="1" applyAlignment="1">
      <alignment horizontal="left" vertical="top" indent="1" shrinkToFit="1"/>
    </xf>
    <xf numFmtId="164" fontId="4" fillId="0" borderId="3" xfId="0" applyNumberFormat="1" applyFont="1" applyBorder="1" applyAlignment="1">
      <alignment horizontal="left" vertical="top" indent="1" shrinkToFit="1"/>
    </xf>
    <xf numFmtId="0" fontId="2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wrapText="1"/>
    </xf>
    <xf numFmtId="1" fontId="5" fillId="4" borderId="7" xfId="0" applyNumberFormat="1" applyFont="1" applyFill="1" applyBorder="1" applyAlignment="1">
      <alignment horizontal="center" vertical="top" shrinkToFit="1"/>
    </xf>
    <xf numFmtId="165" fontId="5" fillId="4" borderId="3" xfId="0" applyNumberFormat="1" applyFont="1" applyFill="1" applyBorder="1" applyAlignment="1">
      <alignment horizontal="center" vertical="top" shrinkToFit="1"/>
    </xf>
    <xf numFmtId="165" fontId="5" fillId="4" borderId="3" xfId="0" applyNumberFormat="1" applyFont="1" applyFill="1" applyBorder="1" applyAlignment="1">
      <alignment horizontal="right" vertical="top" indent="1" shrinkToFit="1"/>
    </xf>
    <xf numFmtId="165" fontId="5" fillId="4" borderId="3" xfId="0" applyNumberFormat="1" applyFont="1" applyFill="1" applyBorder="1" applyAlignment="1">
      <alignment horizontal="left" vertical="top" indent="1" shrinkToFit="1"/>
    </xf>
    <xf numFmtId="0" fontId="0" fillId="4" borderId="3" xfId="0" applyFill="1" applyBorder="1" applyAlignment="1">
      <alignment horizontal="left" wrapText="1"/>
    </xf>
    <xf numFmtId="167" fontId="4" fillId="0" borderId="3" xfId="0" applyNumberFormat="1" applyFont="1" applyBorder="1" applyAlignment="1">
      <alignment horizontal="center" vertical="top" shrinkToFit="1"/>
    </xf>
    <xf numFmtId="166" fontId="4" fillId="0" borderId="3" xfId="0" applyNumberFormat="1" applyFont="1" applyBorder="1" applyAlignment="1">
      <alignment horizontal="left" vertical="top" indent="2" shrinkToFit="1"/>
    </xf>
    <xf numFmtId="165" fontId="5" fillId="4" borderId="3" xfId="0" applyNumberFormat="1" applyFont="1" applyFill="1" applyBorder="1" applyAlignment="1">
      <alignment horizontal="left" vertical="top" indent="2" shrinkToFit="1"/>
    </xf>
    <xf numFmtId="0" fontId="2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1" fontId="5" fillId="0" borderId="7" xfId="0" applyNumberFormat="1" applyFont="1" applyBorder="1" applyAlignment="1">
      <alignment horizontal="center" vertical="top" shrinkToFit="1"/>
    </xf>
    <xf numFmtId="165" fontId="5" fillId="0" borderId="3" xfId="0" applyNumberFormat="1" applyFont="1" applyBorder="1" applyAlignment="1">
      <alignment horizontal="center" vertical="top" shrinkToFit="1"/>
    </xf>
    <xf numFmtId="165" fontId="5" fillId="0" borderId="3" xfId="0" applyNumberFormat="1" applyFont="1" applyBorder="1" applyAlignment="1">
      <alignment horizontal="right" vertical="top" indent="1" shrinkToFit="1"/>
    </xf>
    <xf numFmtId="165" fontId="5" fillId="0" borderId="3" xfId="0" applyNumberFormat="1" applyFont="1" applyBorder="1" applyAlignment="1">
      <alignment horizontal="left" vertical="top" indent="1" shrinkToFit="1"/>
    </xf>
    <xf numFmtId="9" fontId="5" fillId="0" borderId="3" xfId="0" applyNumberFormat="1" applyFont="1" applyBorder="1" applyAlignment="1">
      <alignment horizontal="left" vertical="top" indent="2" shrinkToFit="1"/>
    </xf>
    <xf numFmtId="6" fontId="3" fillId="0" borderId="3" xfId="0" applyNumberFormat="1" applyFont="1" applyBorder="1" applyAlignment="1">
      <alignment horizontal="center" vertical="top" wrapText="1"/>
    </xf>
    <xf numFmtId="165" fontId="4" fillId="0" borderId="3" xfId="0" applyNumberFormat="1" applyFont="1" applyBorder="1" applyAlignment="1">
      <alignment horizontal="center" vertical="center" shrinkToFit="1"/>
    </xf>
    <xf numFmtId="6" fontId="3" fillId="0" borderId="3" xfId="0" applyNumberFormat="1" applyFont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167" fontId="4" fillId="0" borderId="3" xfId="0" applyNumberFormat="1" applyFont="1" applyBorder="1" applyAlignment="1">
      <alignment horizontal="center" vertical="center" shrinkToFit="1"/>
    </xf>
    <xf numFmtId="6" fontId="9" fillId="0" borderId="3" xfId="0" applyNumberFormat="1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left" vertical="top" indent="2" shrinkToFit="1"/>
    </xf>
    <xf numFmtId="9" fontId="4" fillId="0" borderId="5" xfId="0" applyNumberFormat="1" applyFont="1" applyBorder="1" applyAlignment="1">
      <alignment horizontal="left" vertical="top" indent="2" shrinkToFit="1"/>
    </xf>
    <xf numFmtId="9" fontId="4" fillId="0" borderId="6" xfId="0" applyNumberFormat="1" applyFont="1" applyBorder="1" applyAlignment="1">
      <alignment horizontal="left" vertical="top" indent="2" shrinkToFi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shrinkToFit="1"/>
    </xf>
    <xf numFmtId="9" fontId="4" fillId="0" borderId="5" xfId="0" applyNumberFormat="1" applyFont="1" applyBorder="1" applyAlignment="1">
      <alignment horizontal="center" vertical="center" shrinkToFit="1"/>
    </xf>
    <xf numFmtId="9" fontId="4" fillId="0" borderId="6" xfId="0" applyNumberFormat="1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wrapText="1" indent="57"/>
    </xf>
    <xf numFmtId="0" fontId="6" fillId="0" borderId="0" xfId="0" applyFont="1" applyAlignment="1">
      <alignment horizontal="left" wrapText="1" indent="57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176453</xdr:colOff>
      <xdr:row>0</xdr:row>
      <xdr:rowOff>1181887</xdr:rowOff>
    </xdr:from>
    <xdr:ext cx="4260215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39AD5BB-DA96-44B6-A7A8-CD1EF223215F}"/>
            </a:ext>
          </a:extLst>
        </xdr:cNvPr>
        <xdr:cNvSpPr/>
      </xdr:nvSpPr>
      <xdr:spPr>
        <a:xfrm>
          <a:off x="2433878" y="1181887"/>
          <a:ext cx="4260215" cy="13970"/>
        </a:xfrm>
        <a:custGeom>
          <a:avLst/>
          <a:gdLst/>
          <a:ahLst/>
          <a:cxnLst/>
          <a:rect l="0" t="0" r="0" b="0"/>
          <a:pathLst>
            <a:path w="4260215" h="13970">
              <a:moveTo>
                <a:pt x="4260037" y="0"/>
              </a:moveTo>
              <a:lnTo>
                <a:pt x="0" y="0"/>
              </a:lnTo>
              <a:lnTo>
                <a:pt x="0" y="13970"/>
              </a:lnTo>
              <a:lnTo>
                <a:pt x="4260037" y="13970"/>
              </a:lnTo>
              <a:lnTo>
                <a:pt x="4260037" y="0"/>
              </a:lnTo>
              <a:close/>
            </a:path>
          </a:pathLst>
        </a:custGeom>
        <a:solidFill>
          <a:srgbClr val="BA2031"/>
        </a:solidFill>
      </xdr:spPr>
    </xdr:sp>
    <xdr:clientData/>
  </xdr:oneCellAnchor>
  <xdr:oneCellAnchor>
    <xdr:from>
      <xdr:col>0</xdr:col>
      <xdr:colOff>113633</xdr:colOff>
      <xdr:row>0</xdr:row>
      <xdr:rowOff>461613</xdr:rowOff>
    </xdr:from>
    <xdr:ext cx="735087" cy="294037"/>
    <xdr:pic>
      <xdr:nvPicPr>
        <xdr:cNvPr id="3" name="image1.jpeg">
          <a:extLst>
            <a:ext uri="{FF2B5EF4-FFF2-40B4-BE49-F238E27FC236}">
              <a16:creationId xmlns:a16="http://schemas.microsoft.com/office/drawing/2014/main" id="{BDF6462E-240F-44A1-9D50-51EC74D7F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" y="461613"/>
          <a:ext cx="735087" cy="2940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176453</xdr:colOff>
      <xdr:row>0</xdr:row>
      <xdr:rowOff>1181887</xdr:rowOff>
    </xdr:from>
    <xdr:ext cx="4260215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6407167-5BDC-4539-95E2-29498456F5AF}"/>
            </a:ext>
          </a:extLst>
        </xdr:cNvPr>
        <xdr:cNvSpPr/>
      </xdr:nvSpPr>
      <xdr:spPr>
        <a:xfrm>
          <a:off x="2433878" y="1181887"/>
          <a:ext cx="4260215" cy="13970"/>
        </a:xfrm>
        <a:custGeom>
          <a:avLst/>
          <a:gdLst/>
          <a:ahLst/>
          <a:cxnLst/>
          <a:rect l="0" t="0" r="0" b="0"/>
          <a:pathLst>
            <a:path w="4260215" h="13970">
              <a:moveTo>
                <a:pt x="4260037" y="0"/>
              </a:moveTo>
              <a:lnTo>
                <a:pt x="0" y="0"/>
              </a:lnTo>
              <a:lnTo>
                <a:pt x="0" y="13970"/>
              </a:lnTo>
              <a:lnTo>
                <a:pt x="4260037" y="13970"/>
              </a:lnTo>
              <a:lnTo>
                <a:pt x="4260037" y="0"/>
              </a:lnTo>
              <a:close/>
            </a:path>
          </a:pathLst>
        </a:custGeom>
        <a:solidFill>
          <a:srgbClr val="BA2031"/>
        </a:solidFill>
      </xdr:spPr>
    </xdr:sp>
    <xdr:clientData/>
  </xdr:oneCellAnchor>
  <xdr:oneCellAnchor>
    <xdr:from>
      <xdr:col>0</xdr:col>
      <xdr:colOff>113633</xdr:colOff>
      <xdr:row>0</xdr:row>
      <xdr:rowOff>461613</xdr:rowOff>
    </xdr:from>
    <xdr:ext cx="735087" cy="294037"/>
    <xdr:pic>
      <xdr:nvPicPr>
        <xdr:cNvPr id="3" name="image1.jpeg">
          <a:extLst>
            <a:ext uri="{FF2B5EF4-FFF2-40B4-BE49-F238E27FC236}">
              <a16:creationId xmlns:a16="http://schemas.microsoft.com/office/drawing/2014/main" id="{41A142AD-87CC-48EF-9FF9-459489CC7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" y="461613"/>
          <a:ext cx="735087" cy="29403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176453</xdr:colOff>
      <xdr:row>0</xdr:row>
      <xdr:rowOff>1181887</xdr:rowOff>
    </xdr:from>
    <xdr:ext cx="4260215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260215" cy="13970"/>
        </a:xfrm>
        <a:custGeom>
          <a:avLst/>
          <a:gdLst/>
          <a:ahLst/>
          <a:cxnLst/>
          <a:rect l="0" t="0" r="0" b="0"/>
          <a:pathLst>
            <a:path w="4260215" h="13970">
              <a:moveTo>
                <a:pt x="4260037" y="0"/>
              </a:moveTo>
              <a:lnTo>
                <a:pt x="0" y="0"/>
              </a:lnTo>
              <a:lnTo>
                <a:pt x="0" y="13970"/>
              </a:lnTo>
              <a:lnTo>
                <a:pt x="4260037" y="13970"/>
              </a:lnTo>
              <a:lnTo>
                <a:pt x="4260037" y="0"/>
              </a:lnTo>
              <a:close/>
            </a:path>
          </a:pathLst>
        </a:custGeom>
        <a:solidFill>
          <a:srgbClr val="BA2031"/>
        </a:solidFill>
      </xdr:spPr>
    </xdr:sp>
    <xdr:clientData/>
  </xdr:oneCellAnchor>
  <xdr:oneCellAnchor>
    <xdr:from>
      <xdr:col>0</xdr:col>
      <xdr:colOff>113633</xdr:colOff>
      <xdr:row>0</xdr:row>
      <xdr:rowOff>461613</xdr:rowOff>
    </xdr:from>
    <xdr:ext cx="735087" cy="294037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" y="461613"/>
          <a:ext cx="735087" cy="29403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176453</xdr:colOff>
      <xdr:row>0</xdr:row>
      <xdr:rowOff>1181887</xdr:rowOff>
    </xdr:from>
    <xdr:ext cx="4260215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0E3424F-F4CC-43FA-87B2-BFDD27F4E42E}"/>
            </a:ext>
          </a:extLst>
        </xdr:cNvPr>
        <xdr:cNvSpPr/>
      </xdr:nvSpPr>
      <xdr:spPr>
        <a:xfrm>
          <a:off x="2433878" y="1181887"/>
          <a:ext cx="4260215" cy="13970"/>
        </a:xfrm>
        <a:custGeom>
          <a:avLst/>
          <a:gdLst/>
          <a:ahLst/>
          <a:cxnLst/>
          <a:rect l="0" t="0" r="0" b="0"/>
          <a:pathLst>
            <a:path w="4260215" h="13970">
              <a:moveTo>
                <a:pt x="4260037" y="0"/>
              </a:moveTo>
              <a:lnTo>
                <a:pt x="0" y="0"/>
              </a:lnTo>
              <a:lnTo>
                <a:pt x="0" y="13970"/>
              </a:lnTo>
              <a:lnTo>
                <a:pt x="4260037" y="13970"/>
              </a:lnTo>
              <a:lnTo>
                <a:pt x="4260037" y="0"/>
              </a:lnTo>
              <a:close/>
            </a:path>
          </a:pathLst>
        </a:custGeom>
        <a:solidFill>
          <a:srgbClr val="BA2031"/>
        </a:solidFill>
      </xdr:spPr>
    </xdr:sp>
    <xdr:clientData/>
  </xdr:oneCellAnchor>
  <xdr:oneCellAnchor>
    <xdr:from>
      <xdr:col>0</xdr:col>
      <xdr:colOff>113633</xdr:colOff>
      <xdr:row>0</xdr:row>
      <xdr:rowOff>461613</xdr:rowOff>
    </xdr:from>
    <xdr:ext cx="735087" cy="294037"/>
    <xdr:pic>
      <xdr:nvPicPr>
        <xdr:cNvPr id="3" name="image1.jpeg">
          <a:extLst>
            <a:ext uri="{FF2B5EF4-FFF2-40B4-BE49-F238E27FC236}">
              <a16:creationId xmlns:a16="http://schemas.microsoft.com/office/drawing/2014/main" id="{1D1BD977-AB49-4DE9-AB36-5311274A0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" y="461613"/>
          <a:ext cx="735087" cy="29403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176453</xdr:colOff>
      <xdr:row>0</xdr:row>
      <xdr:rowOff>1181887</xdr:rowOff>
    </xdr:from>
    <xdr:ext cx="4260215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E0A16FC-4B94-402F-A62D-BB9B9F8C5C05}"/>
            </a:ext>
          </a:extLst>
        </xdr:cNvPr>
        <xdr:cNvSpPr/>
      </xdr:nvSpPr>
      <xdr:spPr>
        <a:xfrm>
          <a:off x="2433878" y="1181887"/>
          <a:ext cx="4260215" cy="13970"/>
        </a:xfrm>
        <a:custGeom>
          <a:avLst/>
          <a:gdLst/>
          <a:ahLst/>
          <a:cxnLst/>
          <a:rect l="0" t="0" r="0" b="0"/>
          <a:pathLst>
            <a:path w="4260215" h="13970">
              <a:moveTo>
                <a:pt x="4260037" y="0"/>
              </a:moveTo>
              <a:lnTo>
                <a:pt x="0" y="0"/>
              </a:lnTo>
              <a:lnTo>
                <a:pt x="0" y="13970"/>
              </a:lnTo>
              <a:lnTo>
                <a:pt x="4260037" y="13970"/>
              </a:lnTo>
              <a:lnTo>
                <a:pt x="4260037" y="0"/>
              </a:lnTo>
              <a:close/>
            </a:path>
          </a:pathLst>
        </a:custGeom>
        <a:solidFill>
          <a:srgbClr val="BA2031"/>
        </a:solidFill>
      </xdr:spPr>
    </xdr:sp>
    <xdr:clientData/>
  </xdr:oneCellAnchor>
  <xdr:oneCellAnchor>
    <xdr:from>
      <xdr:col>0</xdr:col>
      <xdr:colOff>113633</xdr:colOff>
      <xdr:row>0</xdr:row>
      <xdr:rowOff>461613</xdr:rowOff>
    </xdr:from>
    <xdr:ext cx="735087" cy="294037"/>
    <xdr:pic>
      <xdr:nvPicPr>
        <xdr:cNvPr id="3" name="image1.jpeg">
          <a:extLst>
            <a:ext uri="{FF2B5EF4-FFF2-40B4-BE49-F238E27FC236}">
              <a16:creationId xmlns:a16="http://schemas.microsoft.com/office/drawing/2014/main" id="{87EE533D-1100-456F-8C18-4B3CD0DDA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" y="461613"/>
          <a:ext cx="735087" cy="29403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176453</xdr:colOff>
      <xdr:row>0</xdr:row>
      <xdr:rowOff>1181887</xdr:rowOff>
    </xdr:from>
    <xdr:ext cx="4260215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88717EB-FACE-4607-B197-AAE3220C3738}"/>
            </a:ext>
          </a:extLst>
        </xdr:cNvPr>
        <xdr:cNvSpPr/>
      </xdr:nvSpPr>
      <xdr:spPr>
        <a:xfrm>
          <a:off x="2433878" y="1181887"/>
          <a:ext cx="4260215" cy="13970"/>
        </a:xfrm>
        <a:custGeom>
          <a:avLst/>
          <a:gdLst/>
          <a:ahLst/>
          <a:cxnLst/>
          <a:rect l="0" t="0" r="0" b="0"/>
          <a:pathLst>
            <a:path w="4260215" h="13970">
              <a:moveTo>
                <a:pt x="4260037" y="0"/>
              </a:moveTo>
              <a:lnTo>
                <a:pt x="0" y="0"/>
              </a:lnTo>
              <a:lnTo>
                <a:pt x="0" y="13970"/>
              </a:lnTo>
              <a:lnTo>
                <a:pt x="4260037" y="13970"/>
              </a:lnTo>
              <a:lnTo>
                <a:pt x="4260037" y="0"/>
              </a:lnTo>
              <a:close/>
            </a:path>
          </a:pathLst>
        </a:custGeom>
        <a:solidFill>
          <a:srgbClr val="BA2031"/>
        </a:solidFill>
      </xdr:spPr>
    </xdr:sp>
    <xdr:clientData/>
  </xdr:oneCellAnchor>
  <xdr:oneCellAnchor>
    <xdr:from>
      <xdr:col>0</xdr:col>
      <xdr:colOff>113633</xdr:colOff>
      <xdr:row>0</xdr:row>
      <xdr:rowOff>461613</xdr:rowOff>
    </xdr:from>
    <xdr:ext cx="735087" cy="294037"/>
    <xdr:pic>
      <xdr:nvPicPr>
        <xdr:cNvPr id="3" name="image1.jpeg">
          <a:extLst>
            <a:ext uri="{FF2B5EF4-FFF2-40B4-BE49-F238E27FC236}">
              <a16:creationId xmlns:a16="http://schemas.microsoft.com/office/drawing/2014/main" id="{B4563F6B-305A-4038-9A87-019938787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" y="461613"/>
          <a:ext cx="735087" cy="2940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AE1C-655A-4956-9BC6-D1C58B1A19AF}">
  <dimension ref="A1:M25"/>
  <sheetViews>
    <sheetView workbookViewId="0">
      <selection activeCell="O6" sqref="O6"/>
    </sheetView>
  </sheetViews>
  <sheetFormatPr defaultRowHeight="12.75" x14ac:dyDescent="0.2"/>
  <cols>
    <col min="1" max="1" width="11.83203125" customWidth="1"/>
    <col min="2" max="2" width="14" customWidth="1"/>
    <col min="3" max="3" width="13.6640625" customWidth="1"/>
    <col min="4" max="4" width="12.6640625" customWidth="1"/>
    <col min="5" max="6" width="13" customWidth="1"/>
    <col min="7" max="7" width="7.33203125" customWidth="1"/>
    <col min="8" max="8" width="8.83203125" customWidth="1"/>
    <col min="9" max="9" width="12.6640625" customWidth="1"/>
    <col min="10" max="10" width="13" customWidth="1"/>
    <col min="11" max="11" width="12" customWidth="1"/>
    <col min="12" max="12" width="12.6640625" customWidth="1"/>
    <col min="13" max="13" width="3.33203125" customWidth="1"/>
  </cols>
  <sheetData>
    <row r="1" spans="1:13" ht="94.5" customHeight="1" x14ac:dyDescent="0.2">
      <c r="A1" s="42" t="s">
        <v>36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75" customHeight="1" x14ac:dyDescent="0.2">
      <c r="A2" s="44" t="s">
        <v>37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 ht="48" customHeight="1" x14ac:dyDescent="0.2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20</v>
      </c>
      <c r="G3" s="2" t="s">
        <v>5</v>
      </c>
      <c r="H3" s="38" t="s">
        <v>18</v>
      </c>
      <c r="I3" s="3" t="s">
        <v>6</v>
      </c>
      <c r="J3" s="3" t="s">
        <v>7</v>
      </c>
      <c r="K3" s="39" t="s">
        <v>19</v>
      </c>
      <c r="L3" s="5" t="s">
        <v>8</v>
      </c>
      <c r="M3" s="6"/>
    </row>
    <row r="4" spans="1:13" ht="15.95" customHeight="1" x14ac:dyDescent="0.2">
      <c r="A4" s="46" t="s">
        <v>32</v>
      </c>
      <c r="B4" s="7" t="s">
        <v>9</v>
      </c>
      <c r="C4" s="8">
        <v>581.66</v>
      </c>
      <c r="D4" s="8">
        <f>C4*G4</f>
        <v>290.83</v>
      </c>
      <c r="E4" s="8">
        <f>C4-D4</f>
        <v>290.83</v>
      </c>
      <c r="F4" s="8">
        <f>E4*12/52</f>
        <v>67.114615384615391</v>
      </c>
      <c r="G4" s="9">
        <v>0.5</v>
      </c>
      <c r="H4" s="10">
        <v>7</v>
      </c>
      <c r="I4" s="11">
        <f>D4*H4*12</f>
        <v>24429.72</v>
      </c>
      <c r="J4" s="12">
        <f>E4*H4*12</f>
        <v>24429.72</v>
      </c>
      <c r="K4" s="12">
        <f>C4*H4*12</f>
        <v>48859.44</v>
      </c>
      <c r="L4" s="49"/>
      <c r="M4" s="1"/>
    </row>
    <row r="5" spans="1:13" ht="15.95" customHeight="1" x14ac:dyDescent="0.2">
      <c r="A5" s="47"/>
      <c r="B5" s="7" t="s">
        <v>10</v>
      </c>
      <c r="C5" s="23">
        <v>1163.31</v>
      </c>
      <c r="D5" s="8">
        <f>C5*G5</f>
        <v>290.83041874478999</v>
      </c>
      <c r="E5" s="8">
        <f>C5-D5</f>
        <v>872.47958125520995</v>
      </c>
      <c r="F5" s="8">
        <f>E5*12/52</f>
        <v>201.34144182812537</v>
      </c>
      <c r="G5" s="9">
        <v>0.25000250899999998</v>
      </c>
      <c r="H5" s="10">
        <v>0</v>
      </c>
      <c r="I5" s="11">
        <f>D5*H5*12</f>
        <v>0</v>
      </c>
      <c r="J5" s="12">
        <f>E5*H5*12</f>
        <v>0</v>
      </c>
      <c r="K5" s="12">
        <f>C5*H5*12</f>
        <v>0</v>
      </c>
      <c r="L5" s="50"/>
      <c r="M5" s="1"/>
    </row>
    <row r="6" spans="1:13" ht="15.75" customHeight="1" x14ac:dyDescent="0.2">
      <c r="A6" s="47"/>
      <c r="B6" s="7" t="s">
        <v>11</v>
      </c>
      <c r="C6" s="8">
        <v>988.81</v>
      </c>
      <c r="D6" s="8">
        <f>C6*G6</f>
        <v>290.82990367839</v>
      </c>
      <c r="E6" s="8">
        <f>C6-D6</f>
        <v>697.98009632160995</v>
      </c>
      <c r="F6" s="8">
        <f>E6*12/52</f>
        <v>161.07232992037154</v>
      </c>
      <c r="G6" s="9">
        <v>0.29412111899999999</v>
      </c>
      <c r="H6" s="10">
        <v>2</v>
      </c>
      <c r="I6" s="11">
        <f>D6*H6*12</f>
        <v>6979.9176882813599</v>
      </c>
      <c r="J6" s="12">
        <f>E6*H6*12</f>
        <v>16751.52231171864</v>
      </c>
      <c r="K6" s="12">
        <f>C6*H6*12</f>
        <v>23731.439999999999</v>
      </c>
      <c r="L6" s="50"/>
      <c r="M6" s="1"/>
    </row>
    <row r="7" spans="1:13" ht="15.95" customHeight="1" x14ac:dyDescent="0.2">
      <c r="A7" s="48"/>
      <c r="B7" s="7" t="s">
        <v>12</v>
      </c>
      <c r="C7" s="13">
        <v>1657.72</v>
      </c>
      <c r="D7" s="8">
        <f>C7*G7</f>
        <v>290.831142774</v>
      </c>
      <c r="E7" s="14">
        <f>C7-D7</f>
        <v>1366.888857226</v>
      </c>
      <c r="F7" s="41">
        <f>E7*12/52</f>
        <v>315.43589012907694</v>
      </c>
      <c r="G7" s="9">
        <v>0.17544045</v>
      </c>
      <c r="H7" s="10">
        <v>1</v>
      </c>
      <c r="I7" s="11">
        <f>D7*H7*12</f>
        <v>3489.973713288</v>
      </c>
      <c r="J7" s="12">
        <f>E7*H7*12</f>
        <v>16402.666286711999</v>
      </c>
      <c r="K7" s="12">
        <f>C7*H7*12</f>
        <v>19892.64</v>
      </c>
      <c r="L7" s="51"/>
      <c r="M7" s="1"/>
    </row>
    <row r="8" spans="1:13" ht="15.95" customHeight="1" x14ac:dyDescent="0.2">
      <c r="A8" s="15" t="s">
        <v>13</v>
      </c>
      <c r="B8" s="16"/>
      <c r="C8" s="16"/>
      <c r="D8" s="16"/>
      <c r="E8" s="16"/>
      <c r="F8" s="40"/>
      <c r="G8" s="16"/>
      <c r="H8" s="17">
        <v>0</v>
      </c>
      <c r="I8" s="18">
        <f>SUM(I4:I7)</f>
        <v>34899.61140156936</v>
      </c>
      <c r="J8" s="19">
        <f>SUM(J4:J7)</f>
        <v>57583.908598430644</v>
      </c>
      <c r="K8" s="20">
        <f>SUM(K4:K7)</f>
        <v>92483.520000000004</v>
      </c>
      <c r="L8" s="21"/>
      <c r="M8" s="1"/>
    </row>
    <row r="9" spans="1:13" ht="15.95" customHeight="1" x14ac:dyDescent="0.2">
      <c r="A9" s="46" t="s">
        <v>33</v>
      </c>
      <c r="B9" s="7" t="s">
        <v>9</v>
      </c>
      <c r="C9" s="8">
        <v>719.68</v>
      </c>
      <c r="D9" s="8">
        <f>C9*G9</f>
        <v>359.84</v>
      </c>
      <c r="E9" s="8">
        <f>C9-D9</f>
        <v>359.84</v>
      </c>
      <c r="F9" s="8">
        <f>E9*12/52</f>
        <v>83.039999999999992</v>
      </c>
      <c r="G9" s="9">
        <v>0.5</v>
      </c>
      <c r="H9" s="10">
        <v>7</v>
      </c>
      <c r="I9" s="11">
        <f>D9*H9*12</f>
        <v>30226.559999999998</v>
      </c>
      <c r="J9" s="33">
        <f>E9*H9*12</f>
        <v>30226.559999999998</v>
      </c>
      <c r="K9" s="12">
        <f>C9*H9*12</f>
        <v>60453.119999999995</v>
      </c>
      <c r="L9" s="54"/>
      <c r="M9" s="1"/>
    </row>
    <row r="10" spans="1:13" ht="15.95" customHeight="1" x14ac:dyDescent="0.2">
      <c r="A10" s="52"/>
      <c r="B10" s="7" t="s">
        <v>10</v>
      </c>
      <c r="C10" s="8">
        <v>1439.36</v>
      </c>
      <c r="D10" s="8">
        <f>C10*G10</f>
        <v>359.84361135423995</v>
      </c>
      <c r="E10" s="8">
        <f>C10-D10</f>
        <v>1079.5163886457599</v>
      </c>
      <c r="F10" s="8">
        <f>E10*12/52</f>
        <v>249.11916661055997</v>
      </c>
      <c r="G10" s="9">
        <v>0.25000250899999998</v>
      </c>
      <c r="H10" s="10">
        <v>0</v>
      </c>
      <c r="I10" s="11">
        <f>D10*H10*12</f>
        <v>0</v>
      </c>
      <c r="J10" s="33">
        <f>E10*H10*12</f>
        <v>0</v>
      </c>
      <c r="K10" s="12">
        <f>C10*H10*12</f>
        <v>0</v>
      </c>
      <c r="L10" s="55"/>
      <c r="M10" s="1"/>
    </row>
    <row r="11" spans="1:13" ht="15.75" customHeight="1" x14ac:dyDescent="0.2">
      <c r="A11" s="52"/>
      <c r="B11" s="7" t="s">
        <v>11</v>
      </c>
      <c r="C11" s="8">
        <v>1223.45</v>
      </c>
      <c r="D11" s="8">
        <f>C11*G11</f>
        <v>359.84248304055001</v>
      </c>
      <c r="E11" s="8">
        <f>C11-D11</f>
        <v>863.60751695945009</v>
      </c>
      <c r="F11" s="8">
        <f>E11*12/52</f>
        <v>199.2940423752577</v>
      </c>
      <c r="G11" s="9">
        <v>0.29412111899999999</v>
      </c>
      <c r="H11" s="10">
        <v>2</v>
      </c>
      <c r="I11" s="22">
        <f>D11*H11*12</f>
        <v>8636.2195929732006</v>
      </c>
      <c r="J11" s="22">
        <f>E11*H11*12</f>
        <v>20726.580407026802</v>
      </c>
      <c r="K11" s="22">
        <f>C11*H11*12</f>
        <v>29362.800000000003</v>
      </c>
      <c r="L11" s="55"/>
      <c r="M11" s="1"/>
    </row>
    <row r="12" spans="1:13" ht="15.95" customHeight="1" x14ac:dyDescent="0.2">
      <c r="A12" s="53"/>
      <c r="B12" s="7" t="s">
        <v>12</v>
      </c>
      <c r="C12" s="13">
        <v>2051.09</v>
      </c>
      <c r="D12" s="8">
        <f>C12*G12</f>
        <v>359.84415259050002</v>
      </c>
      <c r="E12" s="23">
        <f>C12-D12</f>
        <v>1691.2458474095001</v>
      </c>
      <c r="F12" s="23">
        <f>E12*12/52</f>
        <v>390.28750324834618</v>
      </c>
      <c r="G12" s="9">
        <v>0.17544045</v>
      </c>
      <c r="H12" s="10">
        <v>1</v>
      </c>
      <c r="I12" s="11">
        <f>D12*H12*12</f>
        <v>4318.1298310860002</v>
      </c>
      <c r="J12" s="33">
        <f>E12*H12*12</f>
        <v>20294.950168914002</v>
      </c>
      <c r="K12" s="12">
        <f>C12*H12*12</f>
        <v>24613.08</v>
      </c>
      <c r="L12" s="56"/>
      <c r="M12" s="1"/>
    </row>
    <row r="13" spans="1:13" ht="15.95" customHeight="1" x14ac:dyDescent="0.2">
      <c r="A13" s="15" t="s">
        <v>14</v>
      </c>
      <c r="B13" s="16"/>
      <c r="C13" s="16"/>
      <c r="D13" s="16"/>
      <c r="E13" s="16"/>
      <c r="F13" s="16"/>
      <c r="G13" s="16"/>
      <c r="H13" s="17">
        <v>0</v>
      </c>
      <c r="I13" s="18">
        <f>SUM(I9:I12)</f>
        <v>43180.909424059195</v>
      </c>
      <c r="J13" s="24">
        <f>SUM(J9:J12)</f>
        <v>71248.090575940805</v>
      </c>
      <c r="K13" s="24">
        <f>SUM(K9:K12)</f>
        <v>114429</v>
      </c>
      <c r="L13" s="21"/>
      <c r="M13" s="1"/>
    </row>
    <row r="14" spans="1:13" ht="15.95" customHeight="1" x14ac:dyDescent="0.2">
      <c r="A14" s="57" t="s">
        <v>34</v>
      </c>
      <c r="B14" s="7" t="s">
        <v>9</v>
      </c>
      <c r="C14" s="8">
        <v>44.67</v>
      </c>
      <c r="D14" s="8">
        <f>C14*G14</f>
        <v>44.67</v>
      </c>
      <c r="E14" s="8">
        <f>C14-D14</f>
        <v>0</v>
      </c>
      <c r="F14" s="8">
        <f>E14*12/52</f>
        <v>0</v>
      </c>
      <c r="G14" s="9">
        <v>1</v>
      </c>
      <c r="H14" s="10">
        <v>8</v>
      </c>
      <c r="I14" s="11">
        <f>D14*H14*12</f>
        <v>4288.32</v>
      </c>
      <c r="J14" s="33">
        <f>E14*H14*12</f>
        <v>0</v>
      </c>
      <c r="K14" s="33">
        <f>C14*H14*12</f>
        <v>4288.32</v>
      </c>
      <c r="L14" s="54"/>
      <c r="M14" s="1"/>
    </row>
    <row r="15" spans="1:13" ht="15.95" customHeight="1" x14ac:dyDescent="0.2">
      <c r="A15" s="58"/>
      <c r="B15" s="7" t="s">
        <v>10</v>
      </c>
      <c r="C15" s="23">
        <v>89.31</v>
      </c>
      <c r="D15" s="8">
        <f>C15*G15</f>
        <v>44.669999971740005</v>
      </c>
      <c r="E15" s="8">
        <f>C15-D15</f>
        <v>44.640000028259998</v>
      </c>
      <c r="F15" s="8">
        <f>E15*12/52</f>
        <v>10.301538468059999</v>
      </c>
      <c r="G15" s="9">
        <v>0.50016795400000003</v>
      </c>
      <c r="H15" s="10">
        <v>0</v>
      </c>
      <c r="I15" s="32">
        <f>D15*H15*12</f>
        <v>0</v>
      </c>
      <c r="J15" s="34">
        <f>E15*H15*12</f>
        <v>0</v>
      </c>
      <c r="K15" s="37">
        <f>C15*H15*12</f>
        <v>0</v>
      </c>
      <c r="L15" s="55"/>
      <c r="M15" s="1"/>
    </row>
    <row r="16" spans="1:13" ht="15.75" customHeight="1" x14ac:dyDescent="0.2">
      <c r="A16" s="58"/>
      <c r="B16" s="7" t="s">
        <v>11</v>
      </c>
      <c r="C16" s="8">
        <v>93.24</v>
      </c>
      <c r="D16" s="8">
        <f>C16*G16</f>
        <v>44.669999991959997</v>
      </c>
      <c r="E16" s="8">
        <f>C16-D16</f>
        <v>48.570000008039997</v>
      </c>
      <c r="F16" s="8">
        <f>E16*12/52</f>
        <v>11.208461540316923</v>
      </c>
      <c r="G16" s="9">
        <v>0.47908622899999997</v>
      </c>
      <c r="H16" s="10">
        <v>2</v>
      </c>
      <c r="I16" s="22">
        <f>D16*H16*12</f>
        <v>1072.0799998070399</v>
      </c>
      <c r="J16" s="22">
        <f>E16*H16*12</f>
        <v>1165.6800001929601</v>
      </c>
      <c r="K16" s="22">
        <f>C16*H16*12</f>
        <v>2237.7599999999998</v>
      </c>
      <c r="L16" s="55"/>
      <c r="M16" s="1"/>
    </row>
    <row r="17" spans="1:13" ht="15.95" customHeight="1" x14ac:dyDescent="0.2">
      <c r="A17" s="59"/>
      <c r="B17" s="7" t="s">
        <v>12</v>
      </c>
      <c r="C17" s="13">
        <v>147.65</v>
      </c>
      <c r="D17" s="8">
        <f>C17*G17</f>
        <v>44.669999993499999</v>
      </c>
      <c r="E17" s="8">
        <f>C17-D17</f>
        <v>102.98000000650001</v>
      </c>
      <c r="F17" s="8">
        <f>E17*12/52</f>
        <v>23.764615386115388</v>
      </c>
      <c r="G17" s="9">
        <v>0.30253978999999998</v>
      </c>
      <c r="H17" s="10">
        <v>3</v>
      </c>
      <c r="I17" s="22">
        <f>D17*H17*12</f>
        <v>1608.1199997660001</v>
      </c>
      <c r="J17" s="22">
        <f>E17*H17*12</f>
        <v>3707.280000234</v>
      </c>
      <c r="K17" s="22">
        <f>C17*H17*12</f>
        <v>5315.4000000000005</v>
      </c>
      <c r="L17" s="56"/>
      <c r="M17" s="1"/>
    </row>
    <row r="18" spans="1:13" ht="15.95" customHeight="1" x14ac:dyDescent="0.2">
      <c r="A18" s="15" t="s">
        <v>15</v>
      </c>
      <c r="B18" s="16"/>
      <c r="C18" s="16"/>
      <c r="D18" s="16"/>
      <c r="E18" s="16"/>
      <c r="F18" s="16"/>
      <c r="G18" s="16"/>
      <c r="H18" s="17">
        <v>0</v>
      </c>
      <c r="I18" s="18">
        <f>SUM(I14:I17)</f>
        <v>6968.51999957304</v>
      </c>
      <c r="J18" s="24">
        <f>SUM(J14:J17)</f>
        <v>4872.9600004269596</v>
      </c>
      <c r="K18" s="24">
        <f>SUM(K14:K17)</f>
        <v>11841.48</v>
      </c>
      <c r="L18" s="21"/>
      <c r="M18" s="1"/>
    </row>
    <row r="19" spans="1:13" ht="15.95" customHeight="1" x14ac:dyDescent="0.2">
      <c r="A19" s="60" t="s">
        <v>35</v>
      </c>
      <c r="B19" s="7" t="s">
        <v>9</v>
      </c>
      <c r="C19" s="8">
        <v>46</v>
      </c>
      <c r="D19" s="8">
        <f>C19*G19</f>
        <v>46</v>
      </c>
      <c r="E19" s="8">
        <f>C19-D19</f>
        <v>0</v>
      </c>
      <c r="F19" s="8">
        <f>E19*12/52</f>
        <v>0</v>
      </c>
      <c r="G19" s="9">
        <v>1</v>
      </c>
      <c r="H19" s="10">
        <v>8</v>
      </c>
      <c r="I19" s="11">
        <f>D19*H19*12</f>
        <v>4416</v>
      </c>
      <c r="J19" s="33">
        <f>E19*H19*12</f>
        <v>0</v>
      </c>
      <c r="K19" s="33">
        <f>I19+J19</f>
        <v>4416</v>
      </c>
      <c r="L19" s="54"/>
      <c r="M19" s="1"/>
    </row>
    <row r="20" spans="1:13" ht="15.95" customHeight="1" x14ac:dyDescent="0.2">
      <c r="A20" s="58"/>
      <c r="B20" s="7" t="s">
        <v>10</v>
      </c>
      <c r="C20" s="8">
        <v>92</v>
      </c>
      <c r="D20" s="8">
        <f>C20*G20</f>
        <v>46</v>
      </c>
      <c r="E20" s="8">
        <f>C20-D20</f>
        <v>46</v>
      </c>
      <c r="F20" s="8">
        <f>E20*12/52</f>
        <v>10.615384615384615</v>
      </c>
      <c r="G20" s="9">
        <v>0.5</v>
      </c>
      <c r="H20" s="10">
        <v>0</v>
      </c>
      <c r="I20" s="35">
        <f>D20*H20*12</f>
        <v>0</v>
      </c>
      <c r="J20" s="36">
        <f>E20*H20*12</f>
        <v>0</v>
      </c>
      <c r="K20" s="36">
        <f>C20*H20*12</f>
        <v>0</v>
      </c>
      <c r="L20" s="55"/>
      <c r="M20" s="1"/>
    </row>
    <row r="21" spans="1:13" ht="15.75" customHeight="1" x14ac:dyDescent="0.2">
      <c r="A21" s="58"/>
      <c r="B21" s="7" t="s">
        <v>11</v>
      </c>
      <c r="C21" s="8">
        <v>96.22</v>
      </c>
      <c r="D21" s="8">
        <f>C21*G21</f>
        <v>45.999999991140001</v>
      </c>
      <c r="E21" s="8">
        <f>C21-D21</f>
        <v>50.220000008859998</v>
      </c>
      <c r="F21" s="8">
        <f>E21*12/52</f>
        <v>11.589230771275385</v>
      </c>
      <c r="G21" s="9">
        <v>0.47807108700000001</v>
      </c>
      <c r="H21" s="10">
        <v>2</v>
      </c>
      <c r="I21" s="22">
        <f>D21*H21*12</f>
        <v>1103.9999997873601</v>
      </c>
      <c r="J21" s="22">
        <f>E21*H21*12</f>
        <v>1205.2800002126401</v>
      </c>
      <c r="K21" s="22">
        <f>C21*H21*12</f>
        <v>2309.2799999999997</v>
      </c>
      <c r="L21" s="55"/>
      <c r="M21" s="1"/>
    </row>
    <row r="22" spans="1:13" ht="15.95" customHeight="1" x14ac:dyDescent="0.2">
      <c r="A22" s="59"/>
      <c r="B22" s="7" t="s">
        <v>12</v>
      </c>
      <c r="C22" s="13">
        <v>152.31</v>
      </c>
      <c r="D22" s="8">
        <f>C22*G22</f>
        <v>45.999999996059998</v>
      </c>
      <c r="E22" s="8">
        <f>C22-D22</f>
        <v>106.31000000394</v>
      </c>
      <c r="F22" s="8">
        <f>E22*12/52</f>
        <v>24.533076923986155</v>
      </c>
      <c r="G22" s="9">
        <v>0.30201562599999998</v>
      </c>
      <c r="H22" s="10">
        <v>3</v>
      </c>
      <c r="I22" s="22">
        <f>D22*H22*12</f>
        <v>1655.9999998581598</v>
      </c>
      <c r="J22" s="22">
        <f>E22*H22*12</f>
        <v>3827.1600001418401</v>
      </c>
      <c r="K22" s="22">
        <f>C22*H22*12</f>
        <v>5483.16</v>
      </c>
      <c r="L22" s="56"/>
      <c r="M22" s="1"/>
    </row>
    <row r="23" spans="1:13" ht="15.95" customHeight="1" x14ac:dyDescent="0.2">
      <c r="A23" s="15" t="s">
        <v>16</v>
      </c>
      <c r="B23" s="16"/>
      <c r="C23" s="16"/>
      <c r="D23" s="16"/>
      <c r="E23" s="16"/>
      <c r="F23" s="16"/>
      <c r="G23" s="16"/>
      <c r="H23" s="17">
        <v>0</v>
      </c>
      <c r="I23" s="18">
        <f>SUM(I19:I22)</f>
        <v>7175.9999996455199</v>
      </c>
      <c r="J23" s="19">
        <f>SUM(J19:J22)</f>
        <v>5032.4400003544797</v>
      </c>
      <c r="K23" s="24">
        <f>SUM(K19:K22)</f>
        <v>12208.439999999999</v>
      </c>
      <c r="L23" s="21"/>
      <c r="M23" s="1"/>
    </row>
    <row r="24" spans="1:13" ht="16.350000000000001" customHeight="1" x14ac:dyDescent="0.2">
      <c r="A24" s="25" t="s">
        <v>17</v>
      </c>
      <c r="B24" s="26"/>
      <c r="C24" s="26"/>
      <c r="D24" s="26"/>
      <c r="E24" s="26"/>
      <c r="F24" s="26"/>
      <c r="G24" s="26"/>
      <c r="H24" s="27">
        <v>0</v>
      </c>
      <c r="I24" s="28">
        <f>I8+I13+I18+I23</f>
        <v>92225.040824847107</v>
      </c>
      <c r="J24" s="29">
        <f>J8+J12+J18+J23</f>
        <v>87784.258768126077</v>
      </c>
      <c r="K24" s="30">
        <f>K8+K13+K18+K23</f>
        <v>230962.44000000003</v>
      </c>
      <c r="L24" s="31">
        <v>1</v>
      </c>
      <c r="M24" s="1"/>
    </row>
    <row r="25" spans="1:13" ht="20.2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</sheetData>
  <mergeCells count="11">
    <mergeCell ref="A1:M1"/>
    <mergeCell ref="A2:L2"/>
    <mergeCell ref="A4:A7"/>
    <mergeCell ref="L4:L7"/>
    <mergeCell ref="A9:A12"/>
    <mergeCell ref="L9:L12"/>
    <mergeCell ref="A14:A17"/>
    <mergeCell ref="L14:L17"/>
    <mergeCell ref="A19:A22"/>
    <mergeCell ref="L19:L22"/>
    <mergeCell ref="A25:M25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3C2E-BAE8-4086-A8D7-EB9F54DE3994}">
  <dimension ref="A1:M25"/>
  <sheetViews>
    <sheetView topLeftCell="A10" workbookViewId="0">
      <selection activeCell="J4" sqref="J4"/>
    </sheetView>
  </sheetViews>
  <sheetFormatPr defaultRowHeight="12.75" x14ac:dyDescent="0.2"/>
  <cols>
    <col min="1" max="1" width="11.83203125" customWidth="1"/>
    <col min="2" max="2" width="14" customWidth="1"/>
    <col min="3" max="3" width="13.6640625" customWidth="1"/>
    <col min="4" max="4" width="12.6640625" customWidth="1"/>
    <col min="5" max="6" width="13" customWidth="1"/>
    <col min="7" max="7" width="7.33203125" customWidth="1"/>
    <col min="8" max="8" width="8.83203125" customWidth="1"/>
    <col min="9" max="9" width="12.6640625" customWidth="1"/>
    <col min="10" max="10" width="13" customWidth="1"/>
    <col min="11" max="11" width="12" customWidth="1"/>
    <col min="12" max="12" width="12.6640625" customWidth="1"/>
    <col min="13" max="13" width="3.33203125" customWidth="1"/>
  </cols>
  <sheetData>
    <row r="1" spans="1:13" ht="94.5" customHeight="1" x14ac:dyDescent="0.2">
      <c r="A1" s="42" t="s">
        <v>41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75" customHeight="1" x14ac:dyDescent="0.2">
      <c r="A2" s="44" t="s">
        <v>22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 ht="48" customHeight="1" x14ac:dyDescent="0.2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20</v>
      </c>
      <c r="G3" s="2" t="s">
        <v>5</v>
      </c>
      <c r="H3" s="38" t="s">
        <v>18</v>
      </c>
      <c r="I3" s="3" t="s">
        <v>6</v>
      </c>
      <c r="J3" s="3" t="s">
        <v>7</v>
      </c>
      <c r="K3" s="39" t="s">
        <v>19</v>
      </c>
      <c r="L3" s="5" t="s">
        <v>8</v>
      </c>
      <c r="M3" s="6"/>
    </row>
    <row r="4" spans="1:13" ht="15.95" customHeight="1" x14ac:dyDescent="0.2">
      <c r="A4" s="46" t="s">
        <v>38</v>
      </c>
      <c r="B4" s="7" t="s">
        <v>9</v>
      </c>
      <c r="C4" s="8">
        <v>767.47</v>
      </c>
      <c r="D4" s="8">
        <v>500</v>
      </c>
      <c r="E4" s="8">
        <f>C4-D4</f>
        <v>267.47000000000003</v>
      </c>
      <c r="F4" s="8">
        <f>E4*12/52</f>
        <v>61.723846153846161</v>
      </c>
      <c r="G4" s="9">
        <f>D4/C4</f>
        <v>0.65149126350215636</v>
      </c>
      <c r="H4" s="10">
        <v>8</v>
      </c>
      <c r="I4" s="11">
        <f>D4*H4*12</f>
        <v>48000</v>
      </c>
      <c r="J4" s="12">
        <f>E4*H4*12</f>
        <v>25677.120000000003</v>
      </c>
      <c r="K4" s="12">
        <f>C4*H4*12</f>
        <v>73677.119999999995</v>
      </c>
      <c r="L4" s="49"/>
      <c r="M4" s="1"/>
    </row>
    <row r="5" spans="1:13" ht="15.95" customHeight="1" x14ac:dyDescent="0.2">
      <c r="A5" s="47"/>
      <c r="B5" s="7" t="s">
        <v>10</v>
      </c>
      <c r="C5" s="23">
        <v>1534.94</v>
      </c>
      <c r="D5" s="8">
        <v>1175</v>
      </c>
      <c r="E5" s="8">
        <f>C5-D5</f>
        <v>359.94000000000005</v>
      </c>
      <c r="F5" s="8">
        <f>E5*12/52</f>
        <v>83.063076923076935</v>
      </c>
      <c r="G5" s="9">
        <f>D5/C5</f>
        <v>0.76550223461503375</v>
      </c>
      <c r="H5" s="10">
        <v>2</v>
      </c>
      <c r="I5" s="11">
        <f>D5*H5*12</f>
        <v>28200</v>
      </c>
      <c r="J5" s="12">
        <f>E5*H5*12</f>
        <v>8638.5600000000013</v>
      </c>
      <c r="K5" s="12">
        <f>C5*H5*12</f>
        <v>36838.559999999998</v>
      </c>
      <c r="L5" s="50"/>
      <c r="M5" s="1"/>
    </row>
    <row r="6" spans="1:13" ht="15.75" customHeight="1" x14ac:dyDescent="0.2">
      <c r="A6" s="47"/>
      <c r="B6" s="7" t="s">
        <v>11</v>
      </c>
      <c r="C6" s="8">
        <v>1304.7</v>
      </c>
      <c r="D6" s="8">
        <v>1000</v>
      </c>
      <c r="E6" s="8">
        <f>C6-D6</f>
        <v>304.70000000000005</v>
      </c>
      <c r="F6" s="8">
        <f>E6*12/52</f>
        <v>70.31538461538463</v>
      </c>
      <c r="G6" s="9">
        <f>D6/C6</f>
        <v>0.76645972254158046</v>
      </c>
      <c r="H6" s="10">
        <v>1</v>
      </c>
      <c r="I6" s="11">
        <f>D6*H6*12</f>
        <v>12000</v>
      </c>
      <c r="J6" s="12">
        <f>E6*H6*12</f>
        <v>3656.4000000000005</v>
      </c>
      <c r="K6" s="12">
        <f>C6*H6*12</f>
        <v>15656.400000000001</v>
      </c>
      <c r="L6" s="50"/>
      <c r="M6" s="1"/>
    </row>
    <row r="7" spans="1:13" ht="15.95" customHeight="1" x14ac:dyDescent="0.2">
      <c r="A7" s="48"/>
      <c r="B7" s="7" t="s">
        <v>12</v>
      </c>
      <c r="C7" s="13">
        <v>2187.29</v>
      </c>
      <c r="D7" s="8">
        <v>1300</v>
      </c>
      <c r="E7" s="14">
        <f>C7-D7</f>
        <v>887.29</v>
      </c>
      <c r="F7" s="41">
        <f>E7*12/52</f>
        <v>204.75923076923075</v>
      </c>
      <c r="G7" s="9">
        <f>D7/C7</f>
        <v>0.59434277119174872</v>
      </c>
      <c r="H7" s="10">
        <v>3</v>
      </c>
      <c r="I7" s="11">
        <f>D7*H7*12</f>
        <v>46800</v>
      </c>
      <c r="J7" s="12">
        <f>E7*H7*12</f>
        <v>31942.44</v>
      </c>
      <c r="K7" s="12">
        <f>C7*H7*12</f>
        <v>78742.44</v>
      </c>
      <c r="L7" s="51"/>
      <c r="M7" s="1"/>
    </row>
    <row r="8" spans="1:13" ht="15.95" customHeight="1" x14ac:dyDescent="0.2">
      <c r="A8" s="15" t="s">
        <v>13</v>
      </c>
      <c r="B8" s="16"/>
      <c r="C8" s="16"/>
      <c r="D8" s="16"/>
      <c r="E8" s="16"/>
      <c r="F8" s="40"/>
      <c r="G8" s="16"/>
      <c r="H8" s="17">
        <v>0</v>
      </c>
      <c r="I8" s="18">
        <f>SUM(I4:I7)</f>
        <v>135000</v>
      </c>
      <c r="J8" s="19">
        <f>SUM(J4:J7)</f>
        <v>69914.52</v>
      </c>
      <c r="K8" s="20">
        <f>SUM(K4:K7)</f>
        <v>204914.52</v>
      </c>
      <c r="L8" s="21"/>
      <c r="M8" s="1"/>
    </row>
    <row r="9" spans="1:13" ht="15.95" customHeight="1" x14ac:dyDescent="0.2">
      <c r="A9" s="46" t="s">
        <v>39</v>
      </c>
      <c r="B9" s="7" t="s">
        <v>9</v>
      </c>
      <c r="C9" s="8">
        <v>1233.98</v>
      </c>
      <c r="D9" s="8">
        <v>500</v>
      </c>
      <c r="E9" s="8">
        <f>C9-D9</f>
        <v>733.98</v>
      </c>
      <c r="F9" s="8">
        <f>E9*12/52</f>
        <v>169.38</v>
      </c>
      <c r="G9" s="9">
        <f>D9/C9</f>
        <v>0.40519295288416346</v>
      </c>
      <c r="H9" s="10">
        <v>1</v>
      </c>
      <c r="I9" s="11">
        <f>D9*H9*12</f>
        <v>6000</v>
      </c>
      <c r="J9" s="33">
        <f>E9*H9*12</f>
        <v>8807.76</v>
      </c>
      <c r="K9" s="12">
        <f>C9*H9*12</f>
        <v>14807.76</v>
      </c>
      <c r="L9" s="54"/>
      <c r="M9" s="1"/>
    </row>
    <row r="10" spans="1:13" ht="15.95" customHeight="1" x14ac:dyDescent="0.2">
      <c r="A10" s="52"/>
      <c r="B10" s="7" t="s">
        <v>10</v>
      </c>
      <c r="C10" s="8">
        <v>2467.96</v>
      </c>
      <c r="D10" s="8">
        <v>1175</v>
      </c>
      <c r="E10" s="8">
        <f>C10-D10</f>
        <v>1292.96</v>
      </c>
      <c r="F10" s="8">
        <f>E10*12/52</f>
        <v>298.37538461538463</v>
      </c>
      <c r="G10" s="9">
        <f>D10/C10</f>
        <v>0.47610171963889203</v>
      </c>
      <c r="H10" s="10">
        <v>0</v>
      </c>
      <c r="I10" s="11">
        <f>D10*H10*12</f>
        <v>0</v>
      </c>
      <c r="J10" s="33">
        <f>E10*H10*12</f>
        <v>0</v>
      </c>
      <c r="K10" s="12">
        <f>C10*H10*12</f>
        <v>0</v>
      </c>
      <c r="L10" s="55"/>
      <c r="M10" s="1"/>
    </row>
    <row r="11" spans="1:13" ht="15.75" customHeight="1" x14ac:dyDescent="0.2">
      <c r="A11" s="52"/>
      <c r="B11" s="7" t="s">
        <v>11</v>
      </c>
      <c r="C11" s="8">
        <v>2097.7600000000002</v>
      </c>
      <c r="D11" s="8">
        <v>1000</v>
      </c>
      <c r="E11" s="8">
        <f>C11-D11</f>
        <v>1097.7600000000002</v>
      </c>
      <c r="F11" s="8">
        <f>E11*12/52</f>
        <v>253.32923076923083</v>
      </c>
      <c r="G11" s="9">
        <f>D11/C11</f>
        <v>0.47669895507589044</v>
      </c>
      <c r="H11" s="10">
        <v>0</v>
      </c>
      <c r="I11" s="22">
        <f>D11*H11*12</f>
        <v>0</v>
      </c>
      <c r="J11" s="22">
        <f>E11*H11*12</f>
        <v>0</v>
      </c>
      <c r="K11" s="22">
        <f>C11*H11*12</f>
        <v>0</v>
      </c>
      <c r="L11" s="55"/>
      <c r="M11" s="1"/>
    </row>
    <row r="12" spans="1:13" ht="15.95" customHeight="1" x14ac:dyDescent="0.2">
      <c r="A12" s="53"/>
      <c r="B12" s="7" t="s">
        <v>12</v>
      </c>
      <c r="C12" s="13">
        <v>3516.84</v>
      </c>
      <c r="D12" s="8">
        <v>1300</v>
      </c>
      <c r="E12" s="23">
        <f>C12-D12</f>
        <v>2216.84</v>
      </c>
      <c r="F12" s="23">
        <f>E12*12/52</f>
        <v>511.57846153846157</v>
      </c>
      <c r="G12" s="9">
        <f>D12/C12</f>
        <v>0.36965002672854036</v>
      </c>
      <c r="H12" s="10">
        <v>0</v>
      </c>
      <c r="I12" s="11">
        <f>D12*H12*12</f>
        <v>0</v>
      </c>
      <c r="J12" s="33">
        <f>E12*H12*12</f>
        <v>0</v>
      </c>
      <c r="K12" s="12">
        <f>C12*H12*12</f>
        <v>0</v>
      </c>
      <c r="L12" s="56"/>
      <c r="M12" s="1"/>
    </row>
    <row r="13" spans="1:13" ht="15.95" customHeight="1" x14ac:dyDescent="0.2">
      <c r="A13" s="15" t="s">
        <v>14</v>
      </c>
      <c r="B13" s="16"/>
      <c r="C13" s="16"/>
      <c r="D13" s="16"/>
      <c r="E13" s="16"/>
      <c r="F13" s="16"/>
      <c r="G13" s="16"/>
      <c r="H13" s="17">
        <v>0</v>
      </c>
      <c r="I13" s="18">
        <f>SUM(I9:I12)</f>
        <v>6000</v>
      </c>
      <c r="J13" s="24">
        <f>SUM(J9:J12)</f>
        <v>8807.76</v>
      </c>
      <c r="K13" s="24">
        <f>SUM(K9:K12)</f>
        <v>14807.76</v>
      </c>
      <c r="L13" s="21"/>
      <c r="M13" s="1"/>
    </row>
    <row r="14" spans="1:13" ht="15.95" customHeight="1" x14ac:dyDescent="0.2">
      <c r="A14" s="57" t="s">
        <v>40</v>
      </c>
      <c r="B14" s="7" t="s">
        <v>9</v>
      </c>
      <c r="C14" s="8">
        <v>1121.1099999999999</v>
      </c>
      <c r="D14" s="8">
        <v>500</v>
      </c>
      <c r="E14" s="8">
        <f>C14-D14</f>
        <v>621.1099999999999</v>
      </c>
      <c r="F14" s="8">
        <f>E14*12/52</f>
        <v>143.3330769230769</v>
      </c>
      <c r="G14" s="9">
        <f>D14/C14</f>
        <v>0.44598656688460547</v>
      </c>
      <c r="H14" s="10">
        <v>1</v>
      </c>
      <c r="I14" s="11">
        <f>D14*H14*12</f>
        <v>6000</v>
      </c>
      <c r="J14" s="33">
        <f>E14*H14*12</f>
        <v>7453.3199999999988</v>
      </c>
      <c r="K14" s="33">
        <f>C14*H14*12</f>
        <v>13453.32</v>
      </c>
      <c r="L14" s="54"/>
      <c r="M14" s="1"/>
    </row>
    <row r="15" spans="1:13" ht="15.95" customHeight="1" x14ac:dyDescent="0.2">
      <c r="A15" s="58"/>
      <c r="B15" s="7" t="s">
        <v>10</v>
      </c>
      <c r="C15" s="23">
        <v>2242.21</v>
      </c>
      <c r="D15" s="8">
        <v>1175</v>
      </c>
      <c r="E15" s="8">
        <f>C15-D15</f>
        <v>1067.21</v>
      </c>
      <c r="F15" s="8">
        <f>E15*12/52</f>
        <v>246.27923076923076</v>
      </c>
      <c r="G15" s="9">
        <f>D15/C15</f>
        <v>0.52403655322204434</v>
      </c>
      <c r="H15" s="10">
        <v>0</v>
      </c>
      <c r="I15" s="32">
        <f>D15*H15*12</f>
        <v>0</v>
      </c>
      <c r="J15" s="34">
        <f>E15*H15*12</f>
        <v>0</v>
      </c>
      <c r="K15" s="37">
        <f>C15*H15*12</f>
        <v>0</v>
      </c>
      <c r="L15" s="55"/>
      <c r="M15" s="1"/>
    </row>
    <row r="16" spans="1:13" ht="15.75" customHeight="1" x14ac:dyDescent="0.2">
      <c r="A16" s="58"/>
      <c r="B16" s="7" t="s">
        <v>11</v>
      </c>
      <c r="C16" s="8">
        <v>1905.88</v>
      </c>
      <c r="D16" s="8">
        <v>1000</v>
      </c>
      <c r="E16" s="8">
        <f>C16-D16</f>
        <v>905.88000000000011</v>
      </c>
      <c r="F16" s="8">
        <f>E16*12/52</f>
        <v>209.0492307692308</v>
      </c>
      <c r="G16" s="9">
        <f>D16/C15</f>
        <v>0.44598855593365472</v>
      </c>
      <c r="H16" s="10">
        <v>0</v>
      </c>
      <c r="I16" s="22">
        <f>D16*H16*12</f>
        <v>0</v>
      </c>
      <c r="J16" s="22">
        <f>E16*H16*12</f>
        <v>0</v>
      </c>
      <c r="K16" s="22">
        <f>C16*H16*12</f>
        <v>0</v>
      </c>
      <c r="L16" s="55"/>
      <c r="M16" s="1"/>
    </row>
    <row r="17" spans="1:13" ht="15.95" customHeight="1" x14ac:dyDescent="0.2">
      <c r="A17" s="59"/>
      <c r="B17" s="7" t="s">
        <v>12</v>
      </c>
      <c r="C17" s="13">
        <v>3195.15</v>
      </c>
      <c r="D17" s="8">
        <v>1300</v>
      </c>
      <c r="E17" s="8">
        <f>C17-D17</f>
        <v>1895.15</v>
      </c>
      <c r="F17" s="8">
        <f>E17*12/52</f>
        <v>437.34230769230777</v>
      </c>
      <c r="G17" s="9">
        <f>D17/C17</f>
        <v>0.40686665727743609</v>
      </c>
      <c r="H17" s="10">
        <v>0</v>
      </c>
      <c r="I17" s="22">
        <f>D17*H17*12</f>
        <v>0</v>
      </c>
      <c r="J17" s="22">
        <f>E17*H17*12</f>
        <v>0</v>
      </c>
      <c r="K17" s="22">
        <f>C17*H17*12</f>
        <v>0</v>
      </c>
      <c r="L17" s="56"/>
      <c r="M17" s="1"/>
    </row>
    <row r="18" spans="1:13" ht="15.95" customHeight="1" x14ac:dyDescent="0.2">
      <c r="A18" s="15" t="s">
        <v>15</v>
      </c>
      <c r="B18" s="16"/>
      <c r="C18" s="16"/>
      <c r="D18" s="16"/>
      <c r="E18" s="16"/>
      <c r="F18" s="16"/>
      <c r="G18" s="16"/>
      <c r="H18" s="17">
        <v>0</v>
      </c>
      <c r="I18" s="18">
        <f>SUM(I14:I17)</f>
        <v>6000</v>
      </c>
      <c r="J18" s="24">
        <f>SUM(J14:J17)</f>
        <v>7453.3199999999988</v>
      </c>
      <c r="K18" s="24">
        <f>SUM(K14:K17)</f>
        <v>13453.32</v>
      </c>
      <c r="L18" s="21"/>
      <c r="M18" s="1"/>
    </row>
    <row r="19" spans="1:13" ht="15.95" customHeight="1" x14ac:dyDescent="0.2">
      <c r="A19" s="60"/>
      <c r="B19" s="7" t="s">
        <v>9</v>
      </c>
      <c r="C19" s="8">
        <v>0</v>
      </c>
      <c r="D19" s="8">
        <f>C19*G19</f>
        <v>0</v>
      </c>
      <c r="E19" s="8">
        <f>C19-D19</f>
        <v>0</v>
      </c>
      <c r="F19" s="8">
        <f>E19*12/52</f>
        <v>0</v>
      </c>
      <c r="G19" s="9">
        <v>0.5</v>
      </c>
      <c r="H19" s="10">
        <v>1</v>
      </c>
      <c r="I19" s="11">
        <f>D19*H19*12</f>
        <v>0</v>
      </c>
      <c r="J19" s="33">
        <f>E19*H19*12</f>
        <v>0</v>
      </c>
      <c r="K19" s="33">
        <f>I19+J19</f>
        <v>0</v>
      </c>
      <c r="L19" s="54"/>
      <c r="M19" s="1"/>
    </row>
    <row r="20" spans="1:13" ht="15.95" customHeight="1" x14ac:dyDescent="0.2">
      <c r="A20" s="58"/>
      <c r="B20" s="7" t="s">
        <v>10</v>
      </c>
      <c r="C20" s="8">
        <v>0</v>
      </c>
      <c r="D20" s="8">
        <f>C20*G20</f>
        <v>0</v>
      </c>
      <c r="E20" s="8">
        <f>C20-D20</f>
        <v>0</v>
      </c>
      <c r="F20" s="8">
        <f>E20*12/52</f>
        <v>0</v>
      </c>
      <c r="G20" s="9">
        <v>0.25008091487</v>
      </c>
      <c r="H20" s="10">
        <v>0</v>
      </c>
      <c r="I20" s="35">
        <f>D20*H20*12</f>
        <v>0</v>
      </c>
      <c r="J20" s="36">
        <f>E20*H20*12</f>
        <v>0</v>
      </c>
      <c r="K20" s="36">
        <f>C20*H20*12</f>
        <v>0</v>
      </c>
      <c r="L20" s="55"/>
      <c r="M20" s="1"/>
    </row>
    <row r="21" spans="1:13" ht="15.75" customHeight="1" x14ac:dyDescent="0.2">
      <c r="A21" s="58"/>
      <c r="B21" s="7" t="s">
        <v>11</v>
      </c>
      <c r="C21" s="8">
        <v>0</v>
      </c>
      <c r="D21" s="8">
        <f>C21*G21</f>
        <v>0</v>
      </c>
      <c r="E21" s="8">
        <f>C21-D21</f>
        <v>0</v>
      </c>
      <c r="F21" s="8">
        <f>E21*12/52</f>
        <v>0</v>
      </c>
      <c r="G21" s="9">
        <v>0.24013260125999999</v>
      </c>
      <c r="H21" s="10">
        <v>0</v>
      </c>
      <c r="I21" s="22">
        <f>D21*H21*12</f>
        <v>0</v>
      </c>
      <c r="J21" s="22">
        <f>E21*H21*12</f>
        <v>0</v>
      </c>
      <c r="K21" s="22">
        <f>C21*H21*12</f>
        <v>0</v>
      </c>
      <c r="L21" s="55"/>
      <c r="M21" s="1"/>
    </row>
    <row r="22" spans="1:13" ht="15.95" customHeight="1" x14ac:dyDescent="0.2">
      <c r="A22" s="59"/>
      <c r="B22" s="7" t="s">
        <v>12</v>
      </c>
      <c r="C22" s="13">
        <v>0</v>
      </c>
      <c r="D22" s="8">
        <f>C22*G22</f>
        <v>0</v>
      </c>
      <c r="E22" s="8">
        <f>C22-D22</f>
        <v>0</v>
      </c>
      <c r="F22" s="8">
        <f>E22*12/52</f>
        <v>0</v>
      </c>
      <c r="G22" s="9">
        <v>0.15155279502999999</v>
      </c>
      <c r="H22" s="10">
        <v>0</v>
      </c>
      <c r="I22" s="22">
        <f>D22*H22*12</f>
        <v>0</v>
      </c>
      <c r="J22" s="22">
        <f>E22*H22*12</f>
        <v>0</v>
      </c>
      <c r="K22" s="22">
        <f>C22*H22*12</f>
        <v>0</v>
      </c>
      <c r="L22" s="56"/>
      <c r="M22" s="1"/>
    </row>
    <row r="23" spans="1:13" ht="15.95" customHeight="1" x14ac:dyDescent="0.2">
      <c r="A23" s="15" t="s">
        <v>16</v>
      </c>
      <c r="B23" s="16"/>
      <c r="C23" s="16"/>
      <c r="D23" s="16"/>
      <c r="E23" s="16"/>
      <c r="F23" s="16"/>
      <c r="G23" s="16"/>
      <c r="H23" s="17">
        <v>0</v>
      </c>
      <c r="I23" s="18">
        <f>SUM(I19:I22)</f>
        <v>0</v>
      </c>
      <c r="J23" s="19">
        <f>SUM(J19:J22)</f>
        <v>0</v>
      </c>
      <c r="K23" s="24">
        <f>SUM(K19:K22)</f>
        <v>0</v>
      </c>
      <c r="L23" s="21"/>
      <c r="M23" s="1"/>
    </row>
    <row r="24" spans="1:13" ht="16.350000000000001" customHeight="1" x14ac:dyDescent="0.2">
      <c r="A24" s="25" t="s">
        <v>17</v>
      </c>
      <c r="B24" s="26"/>
      <c r="C24" s="26"/>
      <c r="D24" s="26"/>
      <c r="E24" s="26"/>
      <c r="F24" s="26"/>
      <c r="G24" s="26"/>
      <c r="H24" s="27">
        <v>0</v>
      </c>
      <c r="I24" s="28">
        <f>I8+I13+I18+I23</f>
        <v>147000</v>
      </c>
      <c r="J24" s="29">
        <f>J8+J12+J18+J23</f>
        <v>77367.839999999997</v>
      </c>
      <c r="K24" s="30">
        <f>K8+K13+K18+K23</f>
        <v>233175.6</v>
      </c>
      <c r="L24" s="31">
        <v>1</v>
      </c>
      <c r="M24" s="1"/>
    </row>
    <row r="25" spans="1:13" ht="20.2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</sheetData>
  <mergeCells count="11">
    <mergeCell ref="A14:A17"/>
    <mergeCell ref="L14:L17"/>
    <mergeCell ref="A19:A22"/>
    <mergeCell ref="L19:L22"/>
    <mergeCell ref="A25:M25"/>
    <mergeCell ref="A1:M1"/>
    <mergeCell ref="A2:L2"/>
    <mergeCell ref="A4:A7"/>
    <mergeCell ref="L4:L7"/>
    <mergeCell ref="A9:A12"/>
    <mergeCell ref="L9:L12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workbookViewId="0">
      <selection activeCell="D14" sqref="D14"/>
    </sheetView>
  </sheetViews>
  <sheetFormatPr defaultRowHeight="12.75" x14ac:dyDescent="0.2"/>
  <cols>
    <col min="1" max="1" width="11.83203125" customWidth="1"/>
    <col min="2" max="2" width="14" customWidth="1"/>
    <col min="3" max="3" width="13.6640625" customWidth="1"/>
    <col min="4" max="4" width="12.6640625" customWidth="1"/>
    <col min="5" max="6" width="13" customWidth="1"/>
    <col min="7" max="7" width="7.33203125" customWidth="1"/>
    <col min="8" max="8" width="8.83203125" customWidth="1"/>
    <col min="9" max="9" width="12.6640625" customWidth="1"/>
    <col min="10" max="10" width="13" customWidth="1"/>
    <col min="11" max="11" width="12" customWidth="1"/>
    <col min="12" max="12" width="12.6640625" customWidth="1"/>
    <col min="13" max="13" width="3.33203125" customWidth="1"/>
  </cols>
  <sheetData>
    <row r="1" spans="1:13" ht="94.5" customHeight="1" x14ac:dyDescent="0.2">
      <c r="A1" s="42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75" customHeight="1" x14ac:dyDescent="0.2">
      <c r="A2" s="44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 ht="48" customHeight="1" x14ac:dyDescent="0.2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20</v>
      </c>
      <c r="G3" s="2" t="s">
        <v>5</v>
      </c>
      <c r="H3" s="38" t="s">
        <v>18</v>
      </c>
      <c r="I3" s="3" t="s">
        <v>6</v>
      </c>
      <c r="J3" s="3" t="s">
        <v>7</v>
      </c>
      <c r="K3" s="39" t="s">
        <v>19</v>
      </c>
      <c r="L3" s="5" t="s">
        <v>8</v>
      </c>
      <c r="M3" s="6"/>
    </row>
    <row r="4" spans="1:13" ht="15.95" customHeight="1" x14ac:dyDescent="0.2">
      <c r="A4" s="46" t="s">
        <v>23</v>
      </c>
      <c r="B4" s="7" t="s">
        <v>9</v>
      </c>
      <c r="C4" s="8">
        <v>580.32000000000005</v>
      </c>
      <c r="D4" s="8">
        <f>C4*G4</f>
        <v>290.16000000000003</v>
      </c>
      <c r="E4" s="8">
        <f>C4-D4</f>
        <v>290.16000000000003</v>
      </c>
      <c r="F4" s="8">
        <f>E4*12/26</f>
        <v>133.92000000000002</v>
      </c>
      <c r="G4" s="9">
        <v>0.5</v>
      </c>
      <c r="H4" s="10">
        <v>1</v>
      </c>
      <c r="I4" s="11">
        <f>D4*H4*12</f>
        <v>3481.92</v>
      </c>
      <c r="J4" s="12">
        <f>E4*H4*12</f>
        <v>3481.92</v>
      </c>
      <c r="K4" s="12">
        <f>C4*H4*12</f>
        <v>6963.84</v>
      </c>
      <c r="L4" s="49"/>
      <c r="M4" s="1"/>
    </row>
    <row r="5" spans="1:13" ht="15.95" customHeight="1" x14ac:dyDescent="0.2">
      <c r="A5" s="47"/>
      <c r="B5" s="7" t="s">
        <v>10</v>
      </c>
      <c r="C5" s="23">
        <v>1160.6400000000001</v>
      </c>
      <c r="D5" s="8">
        <f>C5*G5</f>
        <v>290.16000000000003</v>
      </c>
      <c r="E5" s="8">
        <f>C5-D5</f>
        <v>870.48</v>
      </c>
      <c r="F5" s="8">
        <f>E5*12/26</f>
        <v>401.76</v>
      </c>
      <c r="G5" s="9">
        <v>0.25</v>
      </c>
      <c r="H5" s="10">
        <v>0</v>
      </c>
      <c r="I5" s="11">
        <f>D5*H5*12</f>
        <v>0</v>
      </c>
      <c r="J5" s="12">
        <f>E5*H5*12</f>
        <v>0</v>
      </c>
      <c r="K5" s="12">
        <f>C5*H5*12</f>
        <v>0</v>
      </c>
      <c r="L5" s="50"/>
      <c r="M5" s="1"/>
    </row>
    <row r="6" spans="1:13" ht="15.75" customHeight="1" x14ac:dyDescent="0.2">
      <c r="A6" s="47"/>
      <c r="B6" s="7" t="s">
        <v>11</v>
      </c>
      <c r="C6" s="8">
        <v>986.54</v>
      </c>
      <c r="D6" s="8">
        <f>C6*G6</f>
        <v>290.15933549550539</v>
      </c>
      <c r="E6" s="8">
        <f>C6-D6</f>
        <v>696.38066450449458</v>
      </c>
      <c r="F6" s="8">
        <f>E6*12/26</f>
        <v>321.40646054053593</v>
      </c>
      <c r="G6" s="9">
        <v>0.29411816601000002</v>
      </c>
      <c r="H6" s="10">
        <v>0</v>
      </c>
      <c r="I6" s="11">
        <f>D6*H6*12</f>
        <v>0</v>
      </c>
      <c r="J6" s="12">
        <f>E6*H6*12</f>
        <v>0</v>
      </c>
      <c r="K6" s="12">
        <f>C6*H6*12</f>
        <v>0</v>
      </c>
      <c r="L6" s="50"/>
      <c r="M6" s="1"/>
    </row>
    <row r="7" spans="1:13" ht="15.95" customHeight="1" x14ac:dyDescent="0.2">
      <c r="A7" s="48"/>
      <c r="B7" s="7" t="s">
        <v>12</v>
      </c>
      <c r="C7" s="13">
        <v>1653.91</v>
      </c>
      <c r="D7" s="8">
        <f>C7*G7</f>
        <v>149.99971354000002</v>
      </c>
      <c r="E7" s="14">
        <f>C7-D7</f>
        <v>1503.91028646</v>
      </c>
      <c r="F7" s="41">
        <f>E7*12/26</f>
        <v>694.11243990461537</v>
      </c>
      <c r="G7" s="9">
        <v>9.0693999999999997E-2</v>
      </c>
      <c r="H7" s="10">
        <v>0</v>
      </c>
      <c r="I7" s="11">
        <f>D7*H7*12</f>
        <v>0</v>
      </c>
      <c r="J7" s="12">
        <f>E7*H7*12</f>
        <v>0</v>
      </c>
      <c r="K7" s="12">
        <f>C7*H7*12</f>
        <v>0</v>
      </c>
      <c r="L7" s="51"/>
      <c r="M7" s="1"/>
    </row>
    <row r="8" spans="1:13" ht="15.95" customHeight="1" x14ac:dyDescent="0.2">
      <c r="A8" s="15" t="s">
        <v>13</v>
      </c>
      <c r="B8" s="16"/>
      <c r="C8" s="16"/>
      <c r="D8" s="16"/>
      <c r="E8" s="16"/>
      <c r="F8" s="40"/>
      <c r="G8" s="16"/>
      <c r="H8" s="17">
        <v>0</v>
      </c>
      <c r="I8" s="18">
        <f>SUM(I4:I7)</f>
        <v>3481.92</v>
      </c>
      <c r="J8" s="19">
        <f>SUM(J4:J7)</f>
        <v>3481.92</v>
      </c>
      <c r="K8" s="20">
        <f>SUM(K4:K7)</f>
        <v>6963.84</v>
      </c>
      <c r="L8" s="21"/>
      <c r="M8" s="1"/>
    </row>
    <row r="9" spans="1:13" ht="15.95" customHeight="1" x14ac:dyDescent="0.2">
      <c r="A9" s="46" t="s">
        <v>24</v>
      </c>
      <c r="B9" s="7" t="s">
        <v>9</v>
      </c>
      <c r="C9" s="8">
        <v>666.76</v>
      </c>
      <c r="D9" s="8">
        <f>C9*G9</f>
        <v>333.38</v>
      </c>
      <c r="E9" s="8">
        <f>C9-D9</f>
        <v>333.38</v>
      </c>
      <c r="F9" s="8">
        <f>E9*12/26</f>
        <v>153.86769230769229</v>
      </c>
      <c r="G9" s="9">
        <v>0.5</v>
      </c>
      <c r="H9" s="10">
        <v>1</v>
      </c>
      <c r="I9" s="11">
        <f>D9*H9*12</f>
        <v>4000.56</v>
      </c>
      <c r="J9" s="33">
        <f>E9*H9*12</f>
        <v>4000.56</v>
      </c>
      <c r="K9" s="12">
        <f>C9*H9*12</f>
        <v>8001.12</v>
      </c>
      <c r="L9" s="54"/>
      <c r="M9" s="1"/>
    </row>
    <row r="10" spans="1:13" ht="15.95" customHeight="1" x14ac:dyDescent="0.2">
      <c r="A10" s="52"/>
      <c r="B10" s="7" t="s">
        <v>10</v>
      </c>
      <c r="C10" s="8">
        <v>1333.52</v>
      </c>
      <c r="D10" s="8">
        <f>C10*G10</f>
        <v>333.38</v>
      </c>
      <c r="E10" s="8">
        <f>C10-D10</f>
        <v>1000.14</v>
      </c>
      <c r="F10" s="8">
        <f>E10*12/26</f>
        <v>461.60307692307691</v>
      </c>
      <c r="G10" s="9">
        <v>0.25</v>
      </c>
      <c r="H10" s="10">
        <v>0</v>
      </c>
      <c r="I10" s="11">
        <f>D10*H10*12</f>
        <v>0</v>
      </c>
      <c r="J10" s="33">
        <f>E10*H10*12</f>
        <v>0</v>
      </c>
      <c r="K10" s="12">
        <f>C10*H10*12</f>
        <v>0</v>
      </c>
      <c r="L10" s="55"/>
      <c r="M10" s="1"/>
    </row>
    <row r="11" spans="1:13" ht="15.75" customHeight="1" x14ac:dyDescent="0.2">
      <c r="A11" s="52"/>
      <c r="B11" s="7" t="s">
        <v>11</v>
      </c>
      <c r="C11" s="8">
        <v>1133.49</v>
      </c>
      <c r="D11" s="8">
        <f>C11*G11</f>
        <v>333.37992516899999</v>
      </c>
      <c r="E11" s="8">
        <f>C11-D11</f>
        <v>800.11007483100002</v>
      </c>
      <c r="F11" s="8">
        <f>E11*12/26</f>
        <v>369.28157299892308</v>
      </c>
      <c r="G11" s="9">
        <v>0.29411809999999999</v>
      </c>
      <c r="H11" s="10">
        <v>0</v>
      </c>
      <c r="I11" s="22">
        <v>0</v>
      </c>
      <c r="J11" s="22">
        <f>E11*H11*12</f>
        <v>0</v>
      </c>
      <c r="K11" s="22">
        <f>C11*H11*12</f>
        <v>0</v>
      </c>
      <c r="L11" s="55"/>
      <c r="M11" s="1"/>
    </row>
    <row r="12" spans="1:13" ht="15.95" customHeight="1" x14ac:dyDescent="0.2">
      <c r="A12" s="53"/>
      <c r="B12" s="7" t="s">
        <v>12</v>
      </c>
      <c r="C12" s="13">
        <v>1900.27</v>
      </c>
      <c r="D12" s="8">
        <f>C12*G12</f>
        <v>149.99971272000002</v>
      </c>
      <c r="E12" s="23">
        <f>C12-D12</f>
        <v>1750.27028728</v>
      </c>
      <c r="F12" s="23">
        <f>E12*12/26</f>
        <v>807.81705566769233</v>
      </c>
      <c r="G12" s="9">
        <v>7.8936000000000006E-2</v>
      </c>
      <c r="H12" s="10">
        <v>0</v>
      </c>
      <c r="I12" s="11">
        <f>D12*H12*12</f>
        <v>0</v>
      </c>
      <c r="J12" s="33">
        <f>E12*H12*12</f>
        <v>0</v>
      </c>
      <c r="K12" s="12">
        <f>C12*H12*12</f>
        <v>0</v>
      </c>
      <c r="L12" s="56"/>
      <c r="M12" s="1"/>
    </row>
    <row r="13" spans="1:13" ht="15.95" customHeight="1" x14ac:dyDescent="0.2">
      <c r="A13" s="15" t="s">
        <v>14</v>
      </c>
      <c r="B13" s="16"/>
      <c r="C13" s="16"/>
      <c r="D13" s="16"/>
      <c r="E13" s="16"/>
      <c r="F13" s="16"/>
      <c r="G13" s="16"/>
      <c r="H13" s="17">
        <v>0</v>
      </c>
      <c r="I13" s="18">
        <f>SUM(I9:I12)</f>
        <v>4000.56</v>
      </c>
      <c r="J13" s="24">
        <f>SUM(J9:J12)</f>
        <v>4000.56</v>
      </c>
      <c r="K13" s="24">
        <f>SUM(K9:K12)</f>
        <v>8001.12</v>
      </c>
      <c r="L13" s="21"/>
      <c r="M13" s="1"/>
    </row>
    <row r="14" spans="1:13" ht="15.95" customHeight="1" x14ac:dyDescent="0.2">
      <c r="A14" s="57" t="s">
        <v>26</v>
      </c>
      <c r="B14" s="7" t="s">
        <v>9</v>
      </c>
      <c r="C14" s="8">
        <v>45.1</v>
      </c>
      <c r="D14" s="8">
        <f>C14*G14</f>
        <v>22.55</v>
      </c>
      <c r="E14" s="8">
        <f>C14-D14</f>
        <v>22.55</v>
      </c>
      <c r="F14" s="8">
        <f>E14*12/26</f>
        <v>10.407692307692308</v>
      </c>
      <c r="G14" s="9">
        <v>0.5</v>
      </c>
      <c r="H14" s="10">
        <v>1</v>
      </c>
      <c r="I14" s="11">
        <f>D14*H14*12</f>
        <v>270.60000000000002</v>
      </c>
      <c r="J14" s="33">
        <f>E14*H14*12</f>
        <v>270.60000000000002</v>
      </c>
      <c r="K14" s="33">
        <f>C14*H14*12</f>
        <v>541.20000000000005</v>
      </c>
      <c r="L14" s="54"/>
      <c r="M14" s="1"/>
    </row>
    <row r="15" spans="1:13" ht="15.95" customHeight="1" x14ac:dyDescent="0.2">
      <c r="A15" s="58"/>
      <c r="B15" s="7" t="s">
        <v>10</v>
      </c>
      <c r="C15" s="23">
        <v>90.21</v>
      </c>
      <c r="D15" s="8">
        <f>C15*G15</f>
        <v>5.8293268991999998</v>
      </c>
      <c r="E15" s="8">
        <f>C15-D15</f>
        <v>84.380673100799996</v>
      </c>
      <c r="F15" s="8">
        <f>E15*12/26</f>
        <v>38.944926046523079</v>
      </c>
      <c r="G15" s="9">
        <v>6.461952E-2</v>
      </c>
      <c r="H15" s="10">
        <v>0</v>
      </c>
      <c r="I15" s="32">
        <f>D15*H15*12</f>
        <v>0</v>
      </c>
      <c r="J15" s="34">
        <f>E15*H15*12</f>
        <v>0</v>
      </c>
      <c r="K15" s="37">
        <f>C15*H15*12</f>
        <v>0</v>
      </c>
      <c r="L15" s="55"/>
      <c r="M15" s="1"/>
    </row>
    <row r="16" spans="1:13" ht="15.75" customHeight="1" x14ac:dyDescent="0.2">
      <c r="A16" s="58"/>
      <c r="B16" s="7" t="s">
        <v>11</v>
      </c>
      <c r="C16" s="8">
        <v>93.84</v>
      </c>
      <c r="D16" s="8">
        <f>C16*G16</f>
        <v>7.1339983199999999</v>
      </c>
      <c r="E16" s="8">
        <f>C16-D16</f>
        <v>86.70600168</v>
      </c>
      <c r="F16" s="8">
        <f>E16*12/26</f>
        <v>40.018154621538464</v>
      </c>
      <c r="G16" s="9">
        <v>7.6022999999999993E-2</v>
      </c>
      <c r="H16" s="10">
        <v>0</v>
      </c>
      <c r="I16" s="22">
        <f>D16*H15*12</f>
        <v>0</v>
      </c>
      <c r="J16" s="22">
        <f>E16*H16*12</f>
        <v>0</v>
      </c>
      <c r="K16" s="22">
        <f>C16*H16*12</f>
        <v>0</v>
      </c>
      <c r="L16" s="55"/>
      <c r="M16" s="1"/>
    </row>
    <row r="17" spans="1:13" ht="15.95" customHeight="1" x14ac:dyDescent="0.2">
      <c r="A17" s="59"/>
      <c r="B17" s="7" t="s">
        <v>12</v>
      </c>
      <c r="C17" s="13">
        <v>148.71</v>
      </c>
      <c r="D17" s="8">
        <f>C17*G17</f>
        <v>6.7435523699999997</v>
      </c>
      <c r="E17" s="8">
        <f>C17-D17</f>
        <v>141.96644763</v>
      </c>
      <c r="F17" s="8">
        <f>E17*12/26</f>
        <v>65.522975829230774</v>
      </c>
      <c r="G17" s="9">
        <v>4.5346999999999998E-2</v>
      </c>
      <c r="H17" s="10">
        <v>0</v>
      </c>
      <c r="I17" s="22">
        <f>D17*H17*12</f>
        <v>0</v>
      </c>
      <c r="J17" s="22">
        <f>E17*H17*12</f>
        <v>0</v>
      </c>
      <c r="K17" s="22">
        <f>C17*H17*12</f>
        <v>0</v>
      </c>
      <c r="L17" s="56"/>
      <c r="M17" s="1"/>
    </row>
    <row r="18" spans="1:13" ht="15.95" customHeight="1" x14ac:dyDescent="0.2">
      <c r="A18" s="15" t="s">
        <v>15</v>
      </c>
      <c r="B18" s="16"/>
      <c r="C18" s="16"/>
      <c r="D18" s="16"/>
      <c r="E18" s="16"/>
      <c r="F18" s="16"/>
      <c r="G18" s="16"/>
      <c r="H18" s="17">
        <v>0</v>
      </c>
      <c r="I18" s="18">
        <f>SUM(I14:I17)</f>
        <v>270.60000000000002</v>
      </c>
      <c r="J18" s="24">
        <f>SUM(J14:J17)</f>
        <v>270.60000000000002</v>
      </c>
      <c r="K18" s="24">
        <f>SUM(K14:K17)</f>
        <v>541.20000000000005</v>
      </c>
      <c r="L18" s="21"/>
      <c r="M18" s="1"/>
    </row>
    <row r="19" spans="1:13" ht="15.95" customHeight="1" x14ac:dyDescent="0.2">
      <c r="A19" s="60" t="s">
        <v>27</v>
      </c>
      <c r="B19" s="7" t="s">
        <v>9</v>
      </c>
      <c r="C19" s="8">
        <v>46.35</v>
      </c>
      <c r="D19" s="8">
        <f>C19*G19</f>
        <v>23.175000000000001</v>
      </c>
      <c r="E19" s="8">
        <f>C19-D19</f>
        <v>23.175000000000001</v>
      </c>
      <c r="F19" s="8">
        <f>E19*12/26</f>
        <v>10.696153846153846</v>
      </c>
      <c r="G19" s="9">
        <v>0.5</v>
      </c>
      <c r="H19" s="10">
        <v>1</v>
      </c>
      <c r="I19" s="11">
        <f>D19*H19*12</f>
        <v>278.10000000000002</v>
      </c>
      <c r="J19" s="33">
        <f>E19*H19*12</f>
        <v>278.10000000000002</v>
      </c>
      <c r="K19" s="33">
        <f>I19+J19*12</f>
        <v>3615.3</v>
      </c>
      <c r="L19" s="54"/>
      <c r="M19" s="1"/>
    </row>
    <row r="20" spans="1:13" ht="15.95" customHeight="1" x14ac:dyDescent="0.2">
      <c r="A20" s="58"/>
      <c r="B20" s="7" t="s">
        <v>10</v>
      </c>
      <c r="C20" s="8">
        <v>92.69</v>
      </c>
      <c r="D20" s="8">
        <f>C20*G20</f>
        <v>5.2130802489999999</v>
      </c>
      <c r="E20" s="8">
        <f>C20-D20</f>
        <v>87.476919750999997</v>
      </c>
      <c r="F20" s="8">
        <f>E20*12/26</f>
        <v>40.373962962</v>
      </c>
      <c r="G20" s="9">
        <v>5.6242100000000003E-2</v>
      </c>
      <c r="H20" s="10">
        <v>0</v>
      </c>
      <c r="I20" s="35">
        <f>D20*H20*12</f>
        <v>0</v>
      </c>
      <c r="J20" s="36">
        <f>E20*H20*12</f>
        <v>0</v>
      </c>
      <c r="K20" s="36">
        <f>I20+J20*12</f>
        <v>0</v>
      </c>
      <c r="L20" s="55"/>
      <c r="M20" s="1"/>
    </row>
    <row r="21" spans="1:13" ht="15.75" customHeight="1" x14ac:dyDescent="0.2">
      <c r="A21" s="58"/>
      <c r="B21" s="7" t="s">
        <v>11</v>
      </c>
      <c r="C21" s="8">
        <v>96.53</v>
      </c>
      <c r="D21" s="8">
        <f>C21*G21</f>
        <v>6.3871005100000007</v>
      </c>
      <c r="E21" s="8">
        <f>C21-D21</f>
        <v>90.142899490000005</v>
      </c>
      <c r="F21" s="8">
        <f>E21*12/26</f>
        <v>41.604415149230775</v>
      </c>
      <c r="G21" s="9">
        <v>6.6167000000000004E-2</v>
      </c>
      <c r="H21" s="10">
        <v>0</v>
      </c>
      <c r="I21" s="22">
        <f>D21*H21*12</f>
        <v>0</v>
      </c>
      <c r="J21" s="22">
        <f>E21*H21*12</f>
        <v>0</v>
      </c>
      <c r="K21" s="22">
        <f>I21+J21*12</f>
        <v>0</v>
      </c>
      <c r="L21" s="55"/>
      <c r="M21" s="1"/>
    </row>
    <row r="22" spans="1:13" ht="15.95" customHeight="1" x14ac:dyDescent="0.2">
      <c r="A22" s="59"/>
      <c r="B22" s="7" t="s">
        <v>12</v>
      </c>
      <c r="C22" s="13">
        <v>152.94999999999999</v>
      </c>
      <c r="D22" s="8">
        <f>C22*G22</f>
        <v>6.0366305999999996</v>
      </c>
      <c r="E22" s="8">
        <f>C22-D22</f>
        <v>146.91336939999999</v>
      </c>
      <c r="F22" s="8">
        <f>E22*12/26</f>
        <v>67.8061704923077</v>
      </c>
      <c r="G22" s="9">
        <v>3.9468000000000003E-2</v>
      </c>
      <c r="H22" s="10">
        <v>0</v>
      </c>
      <c r="I22" s="22">
        <f>D22*H22*12</f>
        <v>0</v>
      </c>
      <c r="J22" s="22">
        <f>E22*H22*12</f>
        <v>0</v>
      </c>
      <c r="K22" s="22">
        <f>I22+J22*12</f>
        <v>0</v>
      </c>
      <c r="L22" s="56"/>
      <c r="M22" s="1"/>
    </row>
    <row r="23" spans="1:13" ht="15.95" customHeight="1" x14ac:dyDescent="0.2">
      <c r="A23" s="15"/>
      <c r="B23" s="16"/>
      <c r="C23" s="16"/>
      <c r="D23" s="16"/>
      <c r="E23" s="16"/>
      <c r="F23" s="16"/>
      <c r="G23" s="16"/>
      <c r="H23" s="17">
        <v>0</v>
      </c>
      <c r="I23" s="18">
        <f>SUM(I19:I22)</f>
        <v>278.10000000000002</v>
      </c>
      <c r="J23" s="19">
        <f>SUM(J19:J22)</f>
        <v>278.10000000000002</v>
      </c>
      <c r="K23" s="24">
        <f>SUM(K19:K22)</f>
        <v>3615.3</v>
      </c>
      <c r="L23" s="21"/>
      <c r="M23" s="1"/>
    </row>
    <row r="24" spans="1:13" ht="16.350000000000001" customHeight="1" x14ac:dyDescent="0.2">
      <c r="A24" s="25" t="s">
        <v>17</v>
      </c>
      <c r="B24" s="26"/>
      <c r="C24" s="26"/>
      <c r="D24" s="26"/>
      <c r="E24" s="26"/>
      <c r="F24" s="26"/>
      <c r="G24" s="26"/>
      <c r="H24" s="27">
        <v>6</v>
      </c>
      <c r="I24" s="28">
        <f>I8+I13+I18+I23</f>
        <v>8031.18</v>
      </c>
      <c r="J24" s="29">
        <f>J8+J12+J18+J23</f>
        <v>4030.62</v>
      </c>
      <c r="K24" s="30">
        <f>K8+K13+K18+K23</f>
        <v>19121.46</v>
      </c>
      <c r="L24" s="31">
        <v>1</v>
      </c>
      <c r="M24" s="1"/>
    </row>
    <row r="25" spans="1:13" ht="20.2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</sheetData>
  <mergeCells count="11">
    <mergeCell ref="A14:A17"/>
    <mergeCell ref="L14:L17"/>
    <mergeCell ref="A19:A22"/>
    <mergeCell ref="L19:L22"/>
    <mergeCell ref="A25:M25"/>
    <mergeCell ref="A1:M1"/>
    <mergeCell ref="A2:L2"/>
    <mergeCell ref="A4:A7"/>
    <mergeCell ref="L4:L7"/>
    <mergeCell ref="A9:A12"/>
    <mergeCell ref="L9:L12"/>
  </mergeCells>
  <pageMargins left="0.7" right="0.7" top="0.75" bottom="0.75" header="0.3" footer="0.3"/>
  <pageSetup scale="9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B914-4FA2-4C3D-B894-5E1C6B2036CA}">
  <sheetPr>
    <pageSetUpPr fitToPage="1"/>
  </sheetPr>
  <dimension ref="A1:M25"/>
  <sheetViews>
    <sheetView workbookViewId="0">
      <selection activeCell="D19" sqref="D19"/>
    </sheetView>
  </sheetViews>
  <sheetFormatPr defaultRowHeight="12.75" x14ac:dyDescent="0.2"/>
  <cols>
    <col min="1" max="1" width="11.83203125" customWidth="1"/>
    <col min="2" max="2" width="14" customWidth="1"/>
    <col min="3" max="3" width="13.6640625" customWidth="1"/>
    <col min="4" max="4" width="12.6640625" customWidth="1"/>
    <col min="5" max="6" width="13" customWidth="1"/>
    <col min="7" max="7" width="7.33203125" customWidth="1"/>
    <col min="8" max="8" width="8.83203125" customWidth="1"/>
    <col min="9" max="9" width="12.6640625" customWidth="1"/>
    <col min="10" max="10" width="13" customWidth="1"/>
    <col min="11" max="11" width="12" customWidth="1"/>
    <col min="12" max="12" width="12.6640625" customWidth="1"/>
    <col min="13" max="13" width="3.33203125" customWidth="1"/>
  </cols>
  <sheetData>
    <row r="1" spans="1:13" ht="94.5" customHeight="1" x14ac:dyDescent="0.2">
      <c r="A1" s="42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75" customHeight="1" x14ac:dyDescent="0.2">
      <c r="A2" s="44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 ht="48" customHeight="1" x14ac:dyDescent="0.2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20</v>
      </c>
      <c r="G3" s="2" t="s">
        <v>5</v>
      </c>
      <c r="H3" s="38" t="s">
        <v>18</v>
      </c>
      <c r="I3" s="3" t="s">
        <v>6</v>
      </c>
      <c r="J3" s="3" t="s">
        <v>7</v>
      </c>
      <c r="K3" s="39" t="s">
        <v>19</v>
      </c>
      <c r="L3" s="5" t="s">
        <v>8</v>
      </c>
      <c r="M3" s="6"/>
    </row>
    <row r="4" spans="1:13" ht="15.95" customHeight="1" x14ac:dyDescent="0.2">
      <c r="A4" s="57" t="s">
        <v>28</v>
      </c>
      <c r="B4" s="7" t="s">
        <v>9</v>
      </c>
      <c r="C4" s="8">
        <v>1222.5899999999999</v>
      </c>
      <c r="D4" s="8">
        <v>150</v>
      </c>
      <c r="E4" s="8">
        <f>C4-D4</f>
        <v>1072.5899999999999</v>
      </c>
      <c r="F4" s="8">
        <f>E4*12/26</f>
        <v>495.04153846153838</v>
      </c>
      <c r="G4" s="9">
        <f>D4/C4</f>
        <v>0.12269035408436189</v>
      </c>
      <c r="H4" s="10">
        <v>1</v>
      </c>
      <c r="I4" s="11">
        <f>D4*H4*12</f>
        <v>1800</v>
      </c>
      <c r="J4" s="12">
        <f>E4*H4*12</f>
        <v>12871.079999999998</v>
      </c>
      <c r="K4" s="12">
        <f>C4*H4*12</f>
        <v>14671.079999999998</v>
      </c>
      <c r="L4" s="49"/>
      <c r="M4" s="1"/>
    </row>
    <row r="5" spans="1:13" ht="15.95" customHeight="1" x14ac:dyDescent="0.2">
      <c r="A5" s="58"/>
      <c r="B5" s="7" t="s">
        <v>10</v>
      </c>
      <c r="C5" s="23">
        <v>2445.1799999999998</v>
      </c>
      <c r="D5" s="8">
        <v>150</v>
      </c>
      <c r="E5" s="8">
        <f>C5-D5</f>
        <v>2295.1799999999998</v>
      </c>
      <c r="F5" s="8">
        <f>E5*12/26</f>
        <v>1059.313846153846</v>
      </c>
      <c r="G5" s="9">
        <f>D5/C5</f>
        <v>6.1345177042180947E-2</v>
      </c>
      <c r="H5" s="10">
        <v>1</v>
      </c>
      <c r="I5" s="11">
        <f>D5*H5*12</f>
        <v>1800</v>
      </c>
      <c r="J5" s="12">
        <f>E5*H5*12</f>
        <v>27542.159999999996</v>
      </c>
      <c r="K5" s="12">
        <f>C5*H5*12</f>
        <v>29342.159999999996</v>
      </c>
      <c r="L5" s="50"/>
      <c r="M5" s="1"/>
    </row>
    <row r="6" spans="1:13" ht="15.75" customHeight="1" x14ac:dyDescent="0.2">
      <c r="A6" s="58"/>
      <c r="B6" s="7" t="s">
        <v>11</v>
      </c>
      <c r="C6" s="8">
        <v>2078.4</v>
      </c>
      <c r="D6" s="8">
        <v>150</v>
      </c>
      <c r="E6" s="8">
        <f>C6-D6</f>
        <v>1928.4</v>
      </c>
      <c r="F6" s="8">
        <f>E6*12/26</f>
        <v>890.03076923076935</v>
      </c>
      <c r="G6" s="9">
        <f>D6/C6</f>
        <v>7.2170900692840642E-2</v>
      </c>
      <c r="H6" s="10">
        <v>1</v>
      </c>
      <c r="I6" s="11">
        <f>D6*H6*12</f>
        <v>1800</v>
      </c>
      <c r="J6" s="12">
        <f>E6*H6*12</f>
        <v>23140.800000000003</v>
      </c>
      <c r="K6" s="12">
        <f>C6*H6*12</f>
        <v>24940.800000000003</v>
      </c>
      <c r="L6" s="50"/>
      <c r="M6" s="1"/>
    </row>
    <row r="7" spans="1:13" ht="15.95" customHeight="1" x14ac:dyDescent="0.2">
      <c r="A7" s="59"/>
      <c r="B7" s="7" t="s">
        <v>12</v>
      </c>
      <c r="C7" s="13">
        <v>3484.38</v>
      </c>
      <c r="D7" s="8">
        <v>150</v>
      </c>
      <c r="E7" s="14">
        <f>C7-D7</f>
        <v>3334.38</v>
      </c>
      <c r="F7" s="41">
        <f>E7*12/26</f>
        <v>1538.9446153846152</v>
      </c>
      <c r="G7" s="9">
        <f>D7/C7</f>
        <v>4.3049265579529213E-2</v>
      </c>
      <c r="H7" s="10">
        <v>1</v>
      </c>
      <c r="I7" s="11">
        <f>D7*H7*12</f>
        <v>1800</v>
      </c>
      <c r="J7" s="12">
        <f>E7*H7*12</f>
        <v>40012.559999999998</v>
      </c>
      <c r="K7" s="12">
        <f>C7*H7*12</f>
        <v>41812.559999999998</v>
      </c>
      <c r="L7" s="51"/>
      <c r="M7" s="1"/>
    </row>
    <row r="8" spans="1:13" ht="15.95" customHeight="1" x14ac:dyDescent="0.2">
      <c r="A8" s="15" t="s">
        <v>13</v>
      </c>
      <c r="B8" s="16"/>
      <c r="C8" s="16"/>
      <c r="D8" s="16"/>
      <c r="E8" s="16"/>
      <c r="F8" s="40"/>
      <c r="G8" s="16"/>
      <c r="H8" s="17">
        <v>0</v>
      </c>
      <c r="I8" s="18">
        <f>SUM(I4:I7)</f>
        <v>7200</v>
      </c>
      <c r="J8" s="19">
        <f>SUM(J4:J7)</f>
        <v>103566.59999999999</v>
      </c>
      <c r="K8" s="20">
        <f>SUM(K4:K7)</f>
        <v>110766.59999999999</v>
      </c>
      <c r="L8" s="21"/>
      <c r="M8" s="1"/>
    </row>
    <row r="9" spans="1:13" ht="15.95" customHeight="1" x14ac:dyDescent="0.2">
      <c r="A9" s="57" t="s">
        <v>30</v>
      </c>
      <c r="B9" s="7" t="s">
        <v>9</v>
      </c>
      <c r="C9" s="8">
        <v>976.26</v>
      </c>
      <c r="D9" s="8">
        <v>150</v>
      </c>
      <c r="E9" s="8">
        <f>C9-D9</f>
        <v>826.26</v>
      </c>
      <c r="F9" s="8">
        <f>E9*12/26</f>
        <v>381.35076923076917</v>
      </c>
      <c r="G9" s="9">
        <f>D9/C9</f>
        <v>0.15364759387867985</v>
      </c>
      <c r="H9" s="10">
        <v>1</v>
      </c>
      <c r="I9" s="11">
        <f>D9*H9*12</f>
        <v>1800</v>
      </c>
      <c r="J9" s="33">
        <f>E9*H9*12</f>
        <v>9915.119999999999</v>
      </c>
      <c r="K9" s="12">
        <f>C9*H9*12</f>
        <v>11715.119999999999</v>
      </c>
      <c r="L9" s="54"/>
      <c r="M9" s="1"/>
    </row>
    <row r="10" spans="1:13" ht="15.95" customHeight="1" x14ac:dyDescent="0.2">
      <c r="A10" s="63"/>
      <c r="B10" s="7" t="s">
        <v>10</v>
      </c>
      <c r="C10" s="8">
        <v>1952.52</v>
      </c>
      <c r="D10" s="8">
        <v>150</v>
      </c>
      <c r="E10" s="8">
        <f>C10-D10</f>
        <v>1802.52</v>
      </c>
      <c r="F10" s="8">
        <f>E10*12/26</f>
        <v>831.93230769230763</v>
      </c>
      <c r="G10" s="9">
        <f>D10/C10</f>
        <v>7.6823796939339925E-2</v>
      </c>
      <c r="H10" s="10">
        <v>1</v>
      </c>
      <c r="I10" s="11">
        <f>D10*H10*12</f>
        <v>1800</v>
      </c>
      <c r="J10" s="33">
        <f>E10*H10*12</f>
        <v>21630.239999999998</v>
      </c>
      <c r="K10" s="12">
        <f>C10*H10*12</f>
        <v>23430.239999999998</v>
      </c>
      <c r="L10" s="55"/>
      <c r="M10" s="1"/>
    </row>
    <row r="11" spans="1:13" ht="15.75" customHeight="1" x14ac:dyDescent="0.2">
      <c r="A11" s="63"/>
      <c r="B11" s="7" t="s">
        <v>11</v>
      </c>
      <c r="C11" s="8">
        <v>1659.64</v>
      </c>
      <c r="D11" s="8">
        <v>150</v>
      </c>
      <c r="E11" s="8">
        <f>C11-D11</f>
        <v>1509.64</v>
      </c>
      <c r="F11" s="8">
        <f>E11*12/26</f>
        <v>696.75692307692304</v>
      </c>
      <c r="G11" s="9">
        <f>D12/C12</f>
        <v>5.3911455824953096E-2</v>
      </c>
      <c r="H11" s="10">
        <v>1</v>
      </c>
      <c r="I11" s="22">
        <f>D11*H11*12</f>
        <v>1800</v>
      </c>
      <c r="J11" s="22">
        <f>E11*H11*12</f>
        <v>18115.68</v>
      </c>
      <c r="K11" s="22">
        <f>C11*H11*12</f>
        <v>19915.68</v>
      </c>
      <c r="L11" s="55"/>
      <c r="M11" s="1"/>
    </row>
    <row r="12" spans="1:13" ht="15.95" customHeight="1" x14ac:dyDescent="0.2">
      <c r="A12" s="64"/>
      <c r="B12" s="7" t="s">
        <v>12</v>
      </c>
      <c r="C12" s="13">
        <v>2782.34</v>
      </c>
      <c r="D12" s="8">
        <v>150</v>
      </c>
      <c r="E12" s="23">
        <f>C12-D12</f>
        <v>2632.34</v>
      </c>
      <c r="F12" s="23">
        <f>E12*12/26</f>
        <v>1214.926153846154</v>
      </c>
      <c r="G12" s="9">
        <f>D12/C12</f>
        <v>5.3911455824953096E-2</v>
      </c>
      <c r="H12" s="10">
        <v>1</v>
      </c>
      <c r="I12" s="11">
        <f>D12*H12*12</f>
        <v>1800</v>
      </c>
      <c r="J12" s="33">
        <f>E12*H12*12</f>
        <v>31588.080000000002</v>
      </c>
      <c r="K12" s="12">
        <f>C12*H12*12</f>
        <v>33388.080000000002</v>
      </c>
      <c r="L12" s="56"/>
      <c r="M12" s="1"/>
    </row>
    <row r="13" spans="1:13" ht="15.95" customHeight="1" x14ac:dyDescent="0.2">
      <c r="A13" s="15" t="s">
        <v>14</v>
      </c>
      <c r="B13" s="16"/>
      <c r="C13" s="16"/>
      <c r="D13" s="16"/>
      <c r="E13" s="16"/>
      <c r="F13" s="16"/>
      <c r="G13" s="16"/>
      <c r="H13" s="17">
        <v>0</v>
      </c>
      <c r="I13" s="18">
        <f>SUM(I9:I12)</f>
        <v>7200</v>
      </c>
      <c r="J13" s="24">
        <f>SUM(J9:J12)</f>
        <v>81249.119999999995</v>
      </c>
      <c r="K13" s="24">
        <f>SUM(K9:K12)</f>
        <v>88449.12</v>
      </c>
      <c r="L13" s="21"/>
      <c r="M13" s="1"/>
    </row>
    <row r="14" spans="1:13" ht="15.95" customHeight="1" x14ac:dyDescent="0.2">
      <c r="A14" s="57" t="s">
        <v>29</v>
      </c>
      <c r="B14" s="7" t="s">
        <v>9</v>
      </c>
      <c r="C14" s="8">
        <v>840.78</v>
      </c>
      <c r="D14" s="8">
        <v>150</v>
      </c>
      <c r="E14" s="8">
        <f>C14-D14</f>
        <v>690.78</v>
      </c>
      <c r="F14" s="8">
        <f>E14*12/26</f>
        <v>318.82153846153847</v>
      </c>
      <c r="G14" s="9">
        <f>D14/C14</f>
        <v>0.17840576607435954</v>
      </c>
      <c r="H14" s="10">
        <v>1</v>
      </c>
      <c r="I14" s="11">
        <f>D14*H14*12</f>
        <v>1800</v>
      </c>
      <c r="J14" s="33">
        <f>E14*H14*12</f>
        <v>8289.36</v>
      </c>
      <c r="K14" s="33">
        <f>C14*H14*12</f>
        <v>10089.36</v>
      </c>
      <c r="L14" s="54"/>
      <c r="M14" s="1"/>
    </row>
    <row r="15" spans="1:13" ht="15.95" customHeight="1" x14ac:dyDescent="0.2">
      <c r="A15" s="58"/>
      <c r="B15" s="7" t="s">
        <v>10</v>
      </c>
      <c r="C15" s="23">
        <v>1681.56</v>
      </c>
      <c r="D15" s="8">
        <v>150</v>
      </c>
      <c r="E15" s="8">
        <f>C15-D15</f>
        <v>1531.56</v>
      </c>
      <c r="F15" s="8">
        <f>E15*12/26</f>
        <v>706.87384615384622</v>
      </c>
      <c r="G15" s="9">
        <f>D15/C15</f>
        <v>8.920288303717977E-2</v>
      </c>
      <c r="H15" s="10">
        <v>1</v>
      </c>
      <c r="I15" s="32">
        <f>D15*H15*12</f>
        <v>1800</v>
      </c>
      <c r="J15" s="34">
        <f>E15*H15*12</f>
        <v>18378.72</v>
      </c>
      <c r="K15" s="37">
        <f>C15*H15*12</f>
        <v>20178.72</v>
      </c>
      <c r="L15" s="55"/>
      <c r="M15" s="1"/>
    </row>
    <row r="16" spans="1:13" ht="15.75" customHeight="1" x14ac:dyDescent="0.2">
      <c r="A16" s="58"/>
      <c r="B16" s="7" t="s">
        <v>11</v>
      </c>
      <c r="C16" s="8">
        <v>1429.33</v>
      </c>
      <c r="D16" s="8">
        <v>150</v>
      </c>
      <c r="E16" s="8">
        <f>C16-D16</f>
        <v>1279.33</v>
      </c>
      <c r="F16" s="8">
        <f>E16*12/26</f>
        <v>590.45999999999992</v>
      </c>
      <c r="G16" s="9">
        <f>D16/C16</f>
        <v>0.10494427459019261</v>
      </c>
      <c r="H16" s="10">
        <v>1</v>
      </c>
      <c r="I16" s="22">
        <f>D16*H15*12</f>
        <v>1800</v>
      </c>
      <c r="J16" s="22">
        <f>E16*H16*12</f>
        <v>15351.96</v>
      </c>
      <c r="K16" s="22">
        <f>C16*H16*12</f>
        <v>17151.96</v>
      </c>
      <c r="L16" s="55"/>
      <c r="M16" s="1"/>
    </row>
    <row r="17" spans="1:13" ht="15.95" customHeight="1" x14ac:dyDescent="0.2">
      <c r="A17" s="59"/>
      <c r="B17" s="7" t="s">
        <v>12</v>
      </c>
      <c r="C17" s="13">
        <v>2396.2199999999998</v>
      </c>
      <c r="D17" s="8">
        <v>150</v>
      </c>
      <c r="E17" s="8">
        <f>C17-D17</f>
        <v>2246.2199999999998</v>
      </c>
      <c r="F17" s="8">
        <f>E17*12/26</f>
        <v>1036.716923076923</v>
      </c>
      <c r="G17" s="9">
        <f>D17/C17</f>
        <v>6.2598592783634235E-2</v>
      </c>
      <c r="H17" s="10">
        <v>1</v>
      </c>
      <c r="I17" s="22">
        <f>D17*H17*12</f>
        <v>1800</v>
      </c>
      <c r="J17" s="22">
        <f>E17*H17*12</f>
        <v>26954.639999999999</v>
      </c>
      <c r="K17" s="22">
        <f>C17*H17*12</f>
        <v>28754.639999999999</v>
      </c>
      <c r="L17" s="56"/>
      <c r="M17" s="1"/>
    </row>
    <row r="18" spans="1:13" ht="15.95" customHeight="1" x14ac:dyDescent="0.2">
      <c r="A18" s="15" t="s">
        <v>15</v>
      </c>
      <c r="B18" s="16"/>
      <c r="C18" s="16"/>
      <c r="D18" s="16"/>
      <c r="E18" s="16"/>
      <c r="F18" s="16"/>
      <c r="G18" s="16"/>
      <c r="H18" s="17">
        <v>0</v>
      </c>
      <c r="I18" s="18">
        <f>SUM(I14:I17)</f>
        <v>7200</v>
      </c>
      <c r="J18" s="24">
        <f>SUM(J14:J17)</f>
        <v>68974.679999999993</v>
      </c>
      <c r="K18" s="24">
        <f>SUM(K14:K17)</f>
        <v>76174.679999999993</v>
      </c>
      <c r="L18" s="21"/>
      <c r="M18" s="1"/>
    </row>
    <row r="19" spans="1:13" ht="15.95" customHeight="1" x14ac:dyDescent="0.2">
      <c r="A19" s="60" t="s">
        <v>31</v>
      </c>
      <c r="B19" s="7" t="s">
        <v>9</v>
      </c>
      <c r="C19" s="8">
        <v>666.76</v>
      </c>
      <c r="D19" s="8">
        <v>150</v>
      </c>
      <c r="E19" s="8">
        <f>C19-D19</f>
        <v>516.76</v>
      </c>
      <c r="F19" s="8">
        <f>E19*12/26</f>
        <v>238.50461538461539</v>
      </c>
      <c r="G19" s="9">
        <f>D19/C19</f>
        <v>0.22496850440938268</v>
      </c>
      <c r="H19" s="10">
        <v>1</v>
      </c>
      <c r="I19" s="11">
        <f>D19*H19*12</f>
        <v>1800</v>
      </c>
      <c r="J19" s="33">
        <f>E19*H19*12</f>
        <v>6201.12</v>
      </c>
      <c r="K19" s="33">
        <f>I19+J19*12</f>
        <v>76213.440000000002</v>
      </c>
      <c r="L19" s="54"/>
      <c r="M19" s="1"/>
    </row>
    <row r="20" spans="1:13" ht="15.95" customHeight="1" x14ac:dyDescent="0.2">
      <c r="A20" s="58"/>
      <c r="B20" s="7" t="s">
        <v>10</v>
      </c>
      <c r="C20" s="8">
        <v>1333.52</v>
      </c>
      <c r="D20" s="8">
        <v>150</v>
      </c>
      <c r="E20" s="8">
        <f>C20-D20</f>
        <v>1183.52</v>
      </c>
      <c r="F20" s="8">
        <f>E20*12/26</f>
        <v>546.24</v>
      </c>
      <c r="G20" s="9">
        <f>D20/C20</f>
        <v>0.11248425220469134</v>
      </c>
      <c r="H20" s="10">
        <v>1</v>
      </c>
      <c r="I20" s="35">
        <f>D20*H20*12</f>
        <v>1800</v>
      </c>
      <c r="J20" s="36">
        <f>E20*H20*12</f>
        <v>14202.24</v>
      </c>
      <c r="K20" s="36">
        <f>I20+J20*12</f>
        <v>172226.88</v>
      </c>
      <c r="L20" s="55"/>
      <c r="M20" s="1"/>
    </row>
    <row r="21" spans="1:13" ht="15.75" customHeight="1" x14ac:dyDescent="0.2">
      <c r="A21" s="58"/>
      <c r="B21" s="7" t="s">
        <v>11</v>
      </c>
      <c r="C21" s="8">
        <v>1133.49</v>
      </c>
      <c r="D21" s="8">
        <v>150</v>
      </c>
      <c r="E21" s="8">
        <f>C21-D21</f>
        <v>983.49</v>
      </c>
      <c r="F21" s="8">
        <f>E21*12/26</f>
        <v>453.9184615384616</v>
      </c>
      <c r="G21" s="9">
        <f>D21/C21</f>
        <v>0.13233464785750204</v>
      </c>
      <c r="H21" s="10">
        <v>1</v>
      </c>
      <c r="I21" s="22">
        <f>D21*H21*12</f>
        <v>1800</v>
      </c>
      <c r="J21" s="22">
        <f>E21*H21*12</f>
        <v>11801.880000000001</v>
      </c>
      <c r="K21" s="22">
        <f>I21+J21*12</f>
        <v>143422.56</v>
      </c>
      <c r="L21" s="55"/>
      <c r="M21" s="1"/>
    </row>
    <row r="22" spans="1:13" ht="15.95" customHeight="1" x14ac:dyDescent="0.2">
      <c r="A22" s="59"/>
      <c r="B22" s="7" t="s">
        <v>12</v>
      </c>
      <c r="C22" s="13">
        <v>1900.27</v>
      </c>
      <c r="D22" s="8">
        <v>150</v>
      </c>
      <c r="E22" s="8">
        <f>C22-D22</f>
        <v>1750.27</v>
      </c>
      <c r="F22" s="8">
        <f>E22*12/26</f>
        <v>807.81692307692299</v>
      </c>
      <c r="G22" s="9">
        <f>D22/C22</f>
        <v>7.8936151178516739E-2</v>
      </c>
      <c r="H22" s="10">
        <v>1</v>
      </c>
      <c r="I22" s="22">
        <f>D22*H22*12</f>
        <v>1800</v>
      </c>
      <c r="J22" s="22">
        <f>E22*H22*12</f>
        <v>21003.239999999998</v>
      </c>
      <c r="K22" s="22">
        <f>I22+J22*12</f>
        <v>253838.87999999998</v>
      </c>
      <c r="L22" s="56"/>
      <c r="M22" s="1"/>
    </row>
    <row r="23" spans="1:13" ht="15.95" customHeight="1" x14ac:dyDescent="0.2">
      <c r="A23" s="15"/>
      <c r="B23" s="16"/>
      <c r="C23" s="16"/>
      <c r="D23" s="16"/>
      <c r="E23" s="16"/>
      <c r="F23" s="16"/>
      <c r="G23" s="16"/>
      <c r="H23" s="17">
        <v>0</v>
      </c>
      <c r="I23" s="18">
        <f>SUM(I19:I22)</f>
        <v>7200</v>
      </c>
      <c r="J23" s="19">
        <f>SUM(J19:J22)</f>
        <v>53208.479999999996</v>
      </c>
      <c r="K23" s="24">
        <f>SUM(K19:K22)</f>
        <v>645701.76</v>
      </c>
      <c r="L23" s="21"/>
      <c r="M23" s="1"/>
    </row>
    <row r="24" spans="1:13" ht="16.350000000000001" customHeight="1" x14ac:dyDescent="0.2">
      <c r="A24" s="25" t="s">
        <v>17</v>
      </c>
      <c r="B24" s="26"/>
      <c r="C24" s="26"/>
      <c r="D24" s="26"/>
      <c r="E24" s="26"/>
      <c r="F24" s="26"/>
      <c r="G24" s="26"/>
      <c r="H24" s="27">
        <v>0</v>
      </c>
      <c r="I24" s="28">
        <f>I8+I13+I18+I23</f>
        <v>28800</v>
      </c>
      <c r="J24" s="29">
        <f>J8+J12+J18+J23</f>
        <v>257337.83999999997</v>
      </c>
      <c r="K24" s="30">
        <f>K8+K13+K18+K23</f>
        <v>921092.15999999992</v>
      </c>
      <c r="L24" s="31">
        <v>1</v>
      </c>
      <c r="M24" s="1"/>
    </row>
    <row r="25" spans="1:13" ht="20.2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</sheetData>
  <mergeCells count="11">
    <mergeCell ref="A14:A17"/>
    <mergeCell ref="L14:L17"/>
    <mergeCell ref="A19:A22"/>
    <mergeCell ref="L19:L22"/>
    <mergeCell ref="A25:M25"/>
    <mergeCell ref="A1:M1"/>
    <mergeCell ref="A2:L2"/>
    <mergeCell ref="A4:A7"/>
    <mergeCell ref="L4:L7"/>
    <mergeCell ref="A9:A12"/>
    <mergeCell ref="L9:L12"/>
  </mergeCells>
  <pageMargins left="0.7" right="0.7" top="0.75" bottom="0.75" header="0.3" footer="0.3"/>
  <pageSetup scale="9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9754-86EF-4B01-805E-ED9330697CB4}">
  <dimension ref="A1"/>
  <sheetViews>
    <sheetView workbookViewId="0">
      <selection activeCell="H23" sqref="H23"/>
    </sheetView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E46F-6D2E-4644-9794-BE53E9F9EB61}">
  <sheetPr>
    <pageSetUpPr fitToPage="1"/>
  </sheetPr>
  <dimension ref="A1:M25"/>
  <sheetViews>
    <sheetView tabSelected="1" workbookViewId="0">
      <selection activeCell="G4" sqref="G4"/>
    </sheetView>
  </sheetViews>
  <sheetFormatPr defaultRowHeight="12.75" x14ac:dyDescent="0.2"/>
  <cols>
    <col min="1" max="1" width="11.83203125" customWidth="1"/>
    <col min="2" max="2" width="14" customWidth="1"/>
    <col min="3" max="3" width="13.6640625" customWidth="1"/>
    <col min="4" max="4" width="12.6640625" customWidth="1"/>
    <col min="5" max="6" width="13" customWidth="1"/>
    <col min="7" max="7" width="7.33203125" customWidth="1"/>
    <col min="8" max="8" width="8.83203125" customWidth="1"/>
    <col min="9" max="9" width="12.6640625" customWidth="1"/>
    <col min="10" max="10" width="13" customWidth="1"/>
    <col min="11" max="11" width="12" customWidth="1"/>
    <col min="12" max="12" width="12.6640625" customWidth="1"/>
    <col min="13" max="13" width="3.33203125" customWidth="1"/>
  </cols>
  <sheetData>
    <row r="1" spans="1:13" ht="94.5" customHeight="1" x14ac:dyDescent="0.2">
      <c r="A1" s="42" t="s">
        <v>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75" customHeight="1" x14ac:dyDescent="0.2">
      <c r="A2" s="44" t="s">
        <v>46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 ht="48" customHeight="1" x14ac:dyDescent="0.2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20</v>
      </c>
      <c r="G3" s="2" t="s">
        <v>5</v>
      </c>
      <c r="H3" s="38" t="s">
        <v>18</v>
      </c>
      <c r="I3" s="3" t="s">
        <v>6</v>
      </c>
      <c r="J3" s="3" t="s">
        <v>7</v>
      </c>
      <c r="K3" s="39" t="s">
        <v>19</v>
      </c>
      <c r="L3" s="5" t="s">
        <v>8</v>
      </c>
      <c r="M3" s="6"/>
    </row>
    <row r="4" spans="1:13" ht="15.95" customHeight="1" x14ac:dyDescent="0.2">
      <c r="A4" s="46" t="s">
        <v>42</v>
      </c>
      <c r="B4" s="7" t="s">
        <v>9</v>
      </c>
      <c r="C4" s="8">
        <v>1222.5899999999999</v>
      </c>
      <c r="D4" s="8">
        <v>75</v>
      </c>
      <c r="E4" s="8">
        <f>C4-D4</f>
        <v>1147.5899999999999</v>
      </c>
      <c r="F4" s="8">
        <f>E4*12/24</f>
        <v>573.79499999999996</v>
      </c>
      <c r="G4" s="9">
        <v>0.5</v>
      </c>
      <c r="H4" s="10">
        <v>1</v>
      </c>
      <c r="I4" s="11">
        <f>D4*H4*12</f>
        <v>900</v>
      </c>
      <c r="J4" s="12">
        <f>E4*H4*12</f>
        <v>13771.079999999998</v>
      </c>
      <c r="K4" s="12">
        <f>C4*H4*12</f>
        <v>14671.079999999998</v>
      </c>
      <c r="L4" s="49"/>
      <c r="M4" s="1"/>
    </row>
    <row r="5" spans="1:13" ht="15.95" customHeight="1" x14ac:dyDescent="0.2">
      <c r="A5" s="47"/>
      <c r="B5" s="7" t="s">
        <v>10</v>
      </c>
      <c r="C5" s="23">
        <v>2445.1799999999998</v>
      </c>
      <c r="D5" s="8">
        <v>75</v>
      </c>
      <c r="E5" s="8">
        <f>C5-D5</f>
        <v>2370.1799999999998</v>
      </c>
      <c r="F5" s="8">
        <f>E5*12/24</f>
        <v>1185.0899999999999</v>
      </c>
      <c r="G5" s="9">
        <v>0.25</v>
      </c>
      <c r="H5" s="10">
        <v>1</v>
      </c>
      <c r="I5" s="11">
        <f>D5*H5*12</f>
        <v>900</v>
      </c>
      <c r="J5" s="12">
        <f>E5*H5*12</f>
        <v>28442.159999999996</v>
      </c>
      <c r="K5" s="12">
        <f>C5*H5*12</f>
        <v>29342.159999999996</v>
      </c>
      <c r="L5" s="50"/>
      <c r="M5" s="1"/>
    </row>
    <row r="6" spans="1:13" ht="15.75" customHeight="1" x14ac:dyDescent="0.2">
      <c r="A6" s="47"/>
      <c r="B6" s="7" t="s">
        <v>11</v>
      </c>
      <c r="C6" s="8">
        <v>2078.4</v>
      </c>
      <c r="D6" s="8">
        <v>75</v>
      </c>
      <c r="E6" s="8">
        <f>C6-D6</f>
        <v>2003.4</v>
      </c>
      <c r="F6" s="8">
        <f>E6*12/24</f>
        <v>1001.7000000000002</v>
      </c>
      <c r="G6" s="9">
        <v>0.29411816601000002</v>
      </c>
      <c r="H6" s="10">
        <v>1</v>
      </c>
      <c r="I6" s="11">
        <f>D6*H6*12</f>
        <v>900</v>
      </c>
      <c r="J6" s="12">
        <f>E6*H6*12</f>
        <v>24040.800000000003</v>
      </c>
      <c r="K6" s="12">
        <f>C6*H6*12</f>
        <v>24940.800000000003</v>
      </c>
      <c r="L6" s="50"/>
      <c r="M6" s="1"/>
    </row>
    <row r="7" spans="1:13" ht="15.95" customHeight="1" x14ac:dyDescent="0.2">
      <c r="A7" s="48"/>
      <c r="B7" s="7" t="s">
        <v>12</v>
      </c>
      <c r="C7" s="13">
        <v>3484.34</v>
      </c>
      <c r="D7" s="8">
        <v>75</v>
      </c>
      <c r="E7" s="14">
        <f>C7-D7</f>
        <v>3409.34</v>
      </c>
      <c r="F7" s="41">
        <f>E7*12/24</f>
        <v>1704.67</v>
      </c>
      <c r="G7" s="9">
        <v>9.0693999999999997E-2</v>
      </c>
      <c r="H7" s="10">
        <v>1</v>
      </c>
      <c r="I7" s="11">
        <f>D7*H7*12</f>
        <v>900</v>
      </c>
      <c r="J7" s="12">
        <f>E7*H7*12</f>
        <v>40912.080000000002</v>
      </c>
      <c r="K7" s="12">
        <f>C7*H7*12</f>
        <v>41812.080000000002</v>
      </c>
      <c r="L7" s="51"/>
      <c r="M7" s="1"/>
    </row>
    <row r="8" spans="1:13" ht="15.95" customHeight="1" x14ac:dyDescent="0.2">
      <c r="A8" s="15" t="s">
        <v>13</v>
      </c>
      <c r="B8" s="16"/>
      <c r="C8" s="16"/>
      <c r="D8" s="16"/>
      <c r="E8" s="16"/>
      <c r="F8" s="40"/>
      <c r="G8" s="16"/>
      <c r="H8" s="17">
        <v>0</v>
      </c>
      <c r="I8" s="18">
        <f>SUM(I4:I7)</f>
        <v>3600</v>
      </c>
      <c r="J8" s="19">
        <f>SUM(J4:J7)</f>
        <v>107166.12</v>
      </c>
      <c r="K8" s="20">
        <f>SUM(K4:K7)</f>
        <v>110766.12</v>
      </c>
      <c r="L8" s="21"/>
      <c r="M8" s="1"/>
    </row>
    <row r="9" spans="1:13" ht="15.95" customHeight="1" x14ac:dyDescent="0.2">
      <c r="A9" s="46" t="s">
        <v>43</v>
      </c>
      <c r="B9" s="7" t="s">
        <v>9</v>
      </c>
      <c r="C9" s="8">
        <v>976.26</v>
      </c>
      <c r="D9" s="8">
        <v>75</v>
      </c>
      <c r="E9" s="8">
        <f>C9-D9</f>
        <v>901.26</v>
      </c>
      <c r="F9" s="8">
        <f>E9*12/24</f>
        <v>450.62999999999994</v>
      </c>
      <c r="G9" s="9">
        <v>0.5</v>
      </c>
      <c r="H9" s="10">
        <v>1</v>
      </c>
      <c r="I9" s="11">
        <f>D9*H9*12</f>
        <v>900</v>
      </c>
      <c r="J9" s="33">
        <f>E9*H9*12</f>
        <v>10815.119999999999</v>
      </c>
      <c r="K9" s="12">
        <f>C9*H9*12</f>
        <v>11715.119999999999</v>
      </c>
      <c r="L9" s="54"/>
      <c r="M9" s="1"/>
    </row>
    <row r="10" spans="1:13" ht="15.95" customHeight="1" x14ac:dyDescent="0.2">
      <c r="A10" s="52"/>
      <c r="B10" s="7" t="s">
        <v>10</v>
      </c>
      <c r="C10" s="8">
        <v>1952.52</v>
      </c>
      <c r="D10" s="8">
        <v>75</v>
      </c>
      <c r="E10" s="8">
        <f>C10-D10</f>
        <v>1877.52</v>
      </c>
      <c r="F10" s="8">
        <f>E10*12/24</f>
        <v>938.75999999999988</v>
      </c>
      <c r="G10" s="9">
        <v>0.25</v>
      </c>
      <c r="H10" s="10">
        <v>1</v>
      </c>
      <c r="I10" s="11">
        <f>D10*H10*12</f>
        <v>900</v>
      </c>
      <c r="J10" s="33">
        <f>E10*H10*12</f>
        <v>22530.239999999998</v>
      </c>
      <c r="K10" s="12">
        <f>C10*H10*12</f>
        <v>23430.239999999998</v>
      </c>
      <c r="L10" s="55"/>
      <c r="M10" s="1"/>
    </row>
    <row r="11" spans="1:13" ht="15.75" customHeight="1" x14ac:dyDescent="0.2">
      <c r="A11" s="52"/>
      <c r="B11" s="7" t="s">
        <v>11</v>
      </c>
      <c r="C11" s="8">
        <v>1659.64</v>
      </c>
      <c r="D11" s="8">
        <v>75</v>
      </c>
      <c r="E11" s="8">
        <f>C11-D11</f>
        <v>1584.64</v>
      </c>
      <c r="F11" s="8">
        <f>E11*12/24</f>
        <v>792.32</v>
      </c>
      <c r="G11" s="9">
        <v>0.29411809999999999</v>
      </c>
      <c r="H11" s="10">
        <v>1</v>
      </c>
      <c r="I11" s="22">
        <v>0</v>
      </c>
      <c r="J11" s="22">
        <f>E11*H11*12</f>
        <v>19015.68</v>
      </c>
      <c r="K11" s="22">
        <f>C11*H11*12</f>
        <v>19915.68</v>
      </c>
      <c r="L11" s="55"/>
      <c r="M11" s="1"/>
    </row>
    <row r="12" spans="1:13" ht="15.95" customHeight="1" x14ac:dyDescent="0.2">
      <c r="A12" s="53"/>
      <c r="B12" s="7" t="s">
        <v>12</v>
      </c>
      <c r="C12" s="13">
        <v>2782.34</v>
      </c>
      <c r="D12" s="8">
        <v>75</v>
      </c>
      <c r="E12" s="23">
        <f>C12-D12</f>
        <v>2707.34</v>
      </c>
      <c r="F12" s="23">
        <f>E12*12/24</f>
        <v>1353.67</v>
      </c>
      <c r="G12" s="9">
        <v>7.8936000000000006E-2</v>
      </c>
      <c r="H12" s="10">
        <v>1</v>
      </c>
      <c r="I12" s="11">
        <f>D12*H12*12</f>
        <v>900</v>
      </c>
      <c r="J12" s="33">
        <f>E12*H12*12</f>
        <v>32488.080000000002</v>
      </c>
      <c r="K12" s="12">
        <f>C12*H12*12</f>
        <v>33388.080000000002</v>
      </c>
      <c r="L12" s="56"/>
      <c r="M12" s="1"/>
    </row>
    <row r="13" spans="1:13" ht="15.95" customHeight="1" x14ac:dyDescent="0.2">
      <c r="A13" s="15" t="s">
        <v>14</v>
      </c>
      <c r="B13" s="16"/>
      <c r="C13" s="16"/>
      <c r="D13" s="16"/>
      <c r="E13" s="16"/>
      <c r="F13" s="16"/>
      <c r="G13" s="16"/>
      <c r="H13" s="17">
        <v>0</v>
      </c>
      <c r="I13" s="18">
        <f>SUM(I9:I12)</f>
        <v>2700</v>
      </c>
      <c r="J13" s="24">
        <f>SUM(J9:J12)</f>
        <v>84849.12</v>
      </c>
      <c r="K13" s="24">
        <f>SUM(K9:K12)</f>
        <v>88449.12</v>
      </c>
      <c r="L13" s="21"/>
      <c r="M13" s="1"/>
    </row>
    <row r="14" spans="1:13" ht="15.95" customHeight="1" x14ac:dyDescent="0.2">
      <c r="A14" s="57" t="s">
        <v>44</v>
      </c>
      <c r="B14" s="7" t="s">
        <v>9</v>
      </c>
      <c r="C14" s="8">
        <v>840.78</v>
      </c>
      <c r="D14" s="8">
        <v>75</v>
      </c>
      <c r="E14" s="8">
        <f>C14-D14</f>
        <v>765.78</v>
      </c>
      <c r="F14" s="8">
        <f>E14*12/24</f>
        <v>382.89000000000004</v>
      </c>
      <c r="G14" s="9">
        <v>0.5</v>
      </c>
      <c r="H14" s="10">
        <v>1</v>
      </c>
      <c r="I14" s="11">
        <f>D14*H14*12</f>
        <v>900</v>
      </c>
      <c r="J14" s="33">
        <f>E14*H14*12</f>
        <v>9189.36</v>
      </c>
      <c r="K14" s="33">
        <f>C14*H14*12</f>
        <v>10089.36</v>
      </c>
      <c r="L14" s="54"/>
      <c r="M14" s="1"/>
    </row>
    <row r="15" spans="1:13" ht="15.95" customHeight="1" x14ac:dyDescent="0.2">
      <c r="A15" s="58"/>
      <c r="B15" s="7" t="s">
        <v>10</v>
      </c>
      <c r="C15" s="23">
        <v>1681.56</v>
      </c>
      <c r="D15" s="8">
        <v>75</v>
      </c>
      <c r="E15" s="8">
        <f>C15-D15</f>
        <v>1606.56</v>
      </c>
      <c r="F15" s="8">
        <f>E15*12/24</f>
        <v>803.28000000000009</v>
      </c>
      <c r="G15" s="9">
        <v>6.461952E-2</v>
      </c>
      <c r="H15" s="10">
        <v>1</v>
      </c>
      <c r="I15" s="32">
        <f>D15*H15*12</f>
        <v>900</v>
      </c>
      <c r="J15" s="34">
        <f>E15*H15*12</f>
        <v>19278.72</v>
      </c>
      <c r="K15" s="37">
        <f>C15*H15*12</f>
        <v>20178.72</v>
      </c>
      <c r="L15" s="55"/>
      <c r="M15" s="1"/>
    </row>
    <row r="16" spans="1:13" ht="15.75" customHeight="1" x14ac:dyDescent="0.2">
      <c r="A16" s="58"/>
      <c r="B16" s="7" t="s">
        <v>11</v>
      </c>
      <c r="C16" s="8">
        <v>1429.33</v>
      </c>
      <c r="D16" s="8">
        <v>75</v>
      </c>
      <c r="E16" s="8">
        <f>C16-D16</f>
        <v>1354.33</v>
      </c>
      <c r="F16" s="8">
        <f>E16*12/24</f>
        <v>677.16499999999996</v>
      </c>
      <c r="G16" s="9">
        <v>7.6022999999999993E-2</v>
      </c>
      <c r="H16" s="10">
        <v>1</v>
      </c>
      <c r="I16" s="22">
        <f>D16*H15*12</f>
        <v>900</v>
      </c>
      <c r="J16" s="22">
        <f>E16*H16*12</f>
        <v>16251.96</v>
      </c>
      <c r="K16" s="22">
        <f>C16*H16*12</f>
        <v>17151.96</v>
      </c>
      <c r="L16" s="55"/>
      <c r="M16" s="1"/>
    </row>
    <row r="17" spans="1:13" ht="15.95" customHeight="1" x14ac:dyDescent="0.2">
      <c r="A17" s="59"/>
      <c r="B17" s="7" t="s">
        <v>12</v>
      </c>
      <c r="C17" s="13">
        <v>2396.2199999999998</v>
      </c>
      <c r="D17" s="8">
        <v>75</v>
      </c>
      <c r="E17" s="8">
        <f>C17-D17</f>
        <v>2321.2199999999998</v>
      </c>
      <c r="F17" s="8">
        <f>E17*12/24</f>
        <v>1160.6099999999999</v>
      </c>
      <c r="G17" s="9">
        <v>4.5346999999999998E-2</v>
      </c>
      <c r="H17" s="10">
        <v>1</v>
      </c>
      <c r="I17" s="22">
        <f>D17*H17*12</f>
        <v>900</v>
      </c>
      <c r="J17" s="22">
        <f>E17*H17*12</f>
        <v>27854.639999999999</v>
      </c>
      <c r="K17" s="22">
        <f>C17*H17*12</f>
        <v>28754.639999999999</v>
      </c>
      <c r="L17" s="56"/>
      <c r="M17" s="1"/>
    </row>
    <row r="18" spans="1:13" ht="15.95" customHeight="1" x14ac:dyDescent="0.2">
      <c r="A18" s="15" t="s">
        <v>15</v>
      </c>
      <c r="B18" s="16"/>
      <c r="C18" s="16"/>
      <c r="D18" s="16"/>
      <c r="E18" s="16"/>
      <c r="F18" s="16"/>
      <c r="G18" s="16"/>
      <c r="H18" s="17">
        <v>0</v>
      </c>
      <c r="I18" s="18">
        <f>SUM(I14:I17)</f>
        <v>3600</v>
      </c>
      <c r="J18" s="24">
        <f>SUM(J14:J17)</f>
        <v>72574.679999999993</v>
      </c>
      <c r="K18" s="24">
        <f>SUM(K14:K17)</f>
        <v>76174.679999999993</v>
      </c>
      <c r="L18" s="21"/>
      <c r="M18" s="1"/>
    </row>
    <row r="19" spans="1:13" ht="15.95" customHeight="1" x14ac:dyDescent="0.2">
      <c r="A19" s="60" t="s">
        <v>45</v>
      </c>
      <c r="B19" s="7" t="s">
        <v>9</v>
      </c>
      <c r="C19" s="8">
        <v>666.76</v>
      </c>
      <c r="D19" s="8">
        <v>75</v>
      </c>
      <c r="E19" s="8">
        <f>C19-D19</f>
        <v>591.76</v>
      </c>
      <c r="F19" s="8">
        <f>E19*12/24</f>
        <v>295.88</v>
      </c>
      <c r="G19" s="9">
        <v>0.5</v>
      </c>
      <c r="H19" s="10">
        <v>1</v>
      </c>
      <c r="I19" s="11">
        <f>D19*H19*12</f>
        <v>900</v>
      </c>
      <c r="J19" s="33">
        <f>E19*H19*12</f>
        <v>7101.12</v>
      </c>
      <c r="K19" s="33">
        <f>I19+J19*12</f>
        <v>86113.44</v>
      </c>
      <c r="L19" s="54"/>
      <c r="M19" s="1"/>
    </row>
    <row r="20" spans="1:13" ht="15.95" customHeight="1" x14ac:dyDescent="0.2">
      <c r="A20" s="58"/>
      <c r="B20" s="7" t="s">
        <v>10</v>
      </c>
      <c r="C20" s="8">
        <v>1333.52</v>
      </c>
      <c r="D20" s="8">
        <v>75</v>
      </c>
      <c r="E20" s="8">
        <f>C20-D20</f>
        <v>1258.52</v>
      </c>
      <c r="F20" s="8">
        <f>E20*12/24</f>
        <v>629.26</v>
      </c>
      <c r="G20" s="9">
        <v>5.6242100000000003E-2</v>
      </c>
      <c r="H20" s="10">
        <v>1</v>
      </c>
      <c r="I20" s="35">
        <f>D20*H20*12</f>
        <v>900</v>
      </c>
      <c r="J20" s="36">
        <f>E20*H20*12</f>
        <v>15102.24</v>
      </c>
      <c r="K20" s="36">
        <f>I20+J20*12</f>
        <v>182126.88</v>
      </c>
      <c r="L20" s="55"/>
      <c r="M20" s="1"/>
    </row>
    <row r="21" spans="1:13" ht="15.75" customHeight="1" x14ac:dyDescent="0.2">
      <c r="A21" s="58"/>
      <c r="B21" s="7" t="s">
        <v>11</v>
      </c>
      <c r="C21" s="8">
        <v>1133.52</v>
      </c>
      <c r="D21" s="8">
        <v>75</v>
      </c>
      <c r="E21" s="8">
        <f>C21-D21</f>
        <v>1058.52</v>
      </c>
      <c r="F21" s="8">
        <f>E21*12/24</f>
        <v>529.26</v>
      </c>
      <c r="G21" s="9">
        <v>6.6167000000000004E-2</v>
      </c>
      <c r="H21" s="10">
        <v>1</v>
      </c>
      <c r="I21" s="22">
        <f>D21*H21*12</f>
        <v>900</v>
      </c>
      <c r="J21" s="22">
        <f>E21*H21*12</f>
        <v>12702.24</v>
      </c>
      <c r="K21" s="22">
        <f>I21+J21*12</f>
        <v>153326.88</v>
      </c>
      <c r="L21" s="55"/>
      <c r="M21" s="1"/>
    </row>
    <row r="22" spans="1:13" ht="15.95" customHeight="1" x14ac:dyDescent="0.2">
      <c r="A22" s="59"/>
      <c r="B22" s="7" t="s">
        <v>12</v>
      </c>
      <c r="C22" s="13">
        <v>1900.27</v>
      </c>
      <c r="D22" s="8">
        <v>75</v>
      </c>
      <c r="E22" s="8">
        <f>C22-D22</f>
        <v>1825.27</v>
      </c>
      <c r="F22" s="8">
        <f>E22*12/24</f>
        <v>912.63499999999988</v>
      </c>
      <c r="G22" s="9">
        <v>3.9468000000000003E-2</v>
      </c>
      <c r="H22" s="10">
        <v>1</v>
      </c>
      <c r="I22" s="22">
        <f>D22*H22*12</f>
        <v>900</v>
      </c>
      <c r="J22" s="22">
        <f>E22*H22*12</f>
        <v>21903.239999999998</v>
      </c>
      <c r="K22" s="22">
        <f>I22+J22*12</f>
        <v>263738.88</v>
      </c>
      <c r="L22" s="56"/>
      <c r="M22" s="1"/>
    </row>
    <row r="23" spans="1:13" ht="15.95" customHeight="1" x14ac:dyDescent="0.2">
      <c r="A23" s="15"/>
      <c r="B23" s="16"/>
      <c r="C23" s="16"/>
      <c r="D23" s="16"/>
      <c r="E23" s="16"/>
      <c r="F23" s="16"/>
      <c r="G23" s="16"/>
      <c r="H23" s="17">
        <v>0</v>
      </c>
      <c r="I23" s="18">
        <f>SUM(I19:I22)</f>
        <v>3600</v>
      </c>
      <c r="J23" s="19">
        <f>SUM(J19:J22)</f>
        <v>56808.84</v>
      </c>
      <c r="K23" s="24">
        <f>SUM(K19:K22)</f>
        <v>685306.08000000007</v>
      </c>
      <c r="L23" s="21"/>
      <c r="M23" s="1"/>
    </row>
    <row r="24" spans="1:13" ht="16.350000000000001" customHeight="1" x14ac:dyDescent="0.2">
      <c r="A24" s="25" t="s">
        <v>17</v>
      </c>
      <c r="B24" s="26"/>
      <c r="C24" s="26"/>
      <c r="D24" s="26"/>
      <c r="E24" s="26"/>
      <c r="F24" s="26"/>
      <c r="G24" s="26"/>
      <c r="H24" s="27">
        <v>0</v>
      </c>
      <c r="I24" s="28">
        <f>I8+I13+I18+I23</f>
        <v>13500</v>
      </c>
      <c r="J24" s="29">
        <f>J8+J12+J18+J23</f>
        <v>269037.71999999997</v>
      </c>
      <c r="K24" s="30">
        <f>K8+K13+K18+K23</f>
        <v>960696</v>
      </c>
      <c r="L24" s="31">
        <v>1</v>
      </c>
      <c r="M24" s="1"/>
    </row>
    <row r="25" spans="1:13" ht="20.2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</sheetData>
  <mergeCells count="11">
    <mergeCell ref="A14:A17"/>
    <mergeCell ref="L14:L17"/>
    <mergeCell ref="A19:A22"/>
    <mergeCell ref="L19:L22"/>
    <mergeCell ref="A25:M25"/>
    <mergeCell ref="A1:M1"/>
    <mergeCell ref="A2:L2"/>
    <mergeCell ref="A4:A7"/>
    <mergeCell ref="L4:L7"/>
    <mergeCell ref="A9:A12"/>
    <mergeCell ref="L9:L12"/>
  </mergeCells>
  <pageMargins left="0.7" right="0.7" top="0.75" bottom="0.75" header="0.3" footer="0.3"/>
  <pageSetup scale="9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DBF4-532E-4E17-9574-C8624FD2DF83}">
  <sheetPr>
    <pageSetUpPr fitToPage="1"/>
  </sheetPr>
  <dimension ref="A1:M25"/>
  <sheetViews>
    <sheetView topLeftCell="A6" workbookViewId="0">
      <selection activeCell="H18" sqref="H18"/>
    </sheetView>
  </sheetViews>
  <sheetFormatPr defaultRowHeight="12.75" x14ac:dyDescent="0.2"/>
  <cols>
    <col min="1" max="1" width="11.83203125" customWidth="1"/>
    <col min="2" max="2" width="14" customWidth="1"/>
    <col min="3" max="3" width="13.6640625" customWidth="1"/>
    <col min="4" max="4" width="12.6640625" customWidth="1"/>
    <col min="5" max="6" width="13" customWidth="1"/>
    <col min="7" max="7" width="7.33203125" customWidth="1"/>
    <col min="8" max="8" width="8.83203125" customWidth="1"/>
    <col min="9" max="9" width="12.6640625" customWidth="1"/>
    <col min="10" max="10" width="13" customWidth="1"/>
    <col min="11" max="11" width="12" customWidth="1"/>
    <col min="12" max="12" width="12.6640625" customWidth="1"/>
    <col min="13" max="13" width="3.33203125" customWidth="1"/>
  </cols>
  <sheetData>
    <row r="1" spans="1:13" ht="94.5" customHeight="1" x14ac:dyDescent="0.2">
      <c r="A1" s="42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75" customHeight="1" x14ac:dyDescent="0.2">
      <c r="A2" s="44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 ht="48" customHeight="1" x14ac:dyDescent="0.2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20</v>
      </c>
      <c r="G3" s="2" t="s">
        <v>5</v>
      </c>
      <c r="H3" s="38" t="s">
        <v>18</v>
      </c>
      <c r="I3" s="3" t="s">
        <v>6</v>
      </c>
      <c r="J3" s="3" t="s">
        <v>7</v>
      </c>
      <c r="K3" s="39" t="s">
        <v>19</v>
      </c>
      <c r="L3" s="5" t="s">
        <v>8</v>
      </c>
      <c r="M3" s="6"/>
    </row>
    <row r="4" spans="1:13" ht="15.95" customHeight="1" x14ac:dyDescent="0.2">
      <c r="A4" s="57" t="s">
        <v>28</v>
      </c>
      <c r="B4" s="7" t="s">
        <v>9</v>
      </c>
      <c r="C4" s="8">
        <v>1222.5899999999999</v>
      </c>
      <c r="D4" s="8">
        <v>150</v>
      </c>
      <c r="E4" s="8">
        <f>C4-D4</f>
        <v>1072.5899999999999</v>
      </c>
      <c r="F4" s="8">
        <f>E4*12/24</f>
        <v>536.29499999999996</v>
      </c>
      <c r="G4" s="9">
        <f>D4/C4</f>
        <v>0.12269035408436189</v>
      </c>
      <c r="H4" s="10">
        <v>1</v>
      </c>
      <c r="I4" s="11">
        <f>D4*H4*12</f>
        <v>1800</v>
      </c>
      <c r="J4" s="12">
        <f>E4*H4*12</f>
        <v>12871.079999999998</v>
      </c>
      <c r="K4" s="12">
        <f>C4*H4*12</f>
        <v>14671.079999999998</v>
      </c>
      <c r="L4" s="49"/>
      <c r="M4" s="1"/>
    </row>
    <row r="5" spans="1:13" ht="15.95" customHeight="1" x14ac:dyDescent="0.2">
      <c r="A5" s="58"/>
      <c r="B5" s="7" t="s">
        <v>10</v>
      </c>
      <c r="C5" s="23">
        <v>2445.1799999999998</v>
      </c>
      <c r="D5" s="8">
        <v>150</v>
      </c>
      <c r="E5" s="8">
        <f>C5-D5</f>
        <v>2295.1799999999998</v>
      </c>
      <c r="F5" s="8">
        <f>E5*12/24</f>
        <v>1147.5899999999999</v>
      </c>
      <c r="G5" s="9">
        <f>D5/C5</f>
        <v>6.1345177042180947E-2</v>
      </c>
      <c r="H5" s="10">
        <v>1</v>
      </c>
      <c r="I5" s="11">
        <f>D5*H5*12</f>
        <v>1800</v>
      </c>
      <c r="J5" s="12">
        <f>E5*H5*12</f>
        <v>27542.159999999996</v>
      </c>
      <c r="K5" s="12">
        <f>C5*H5*12</f>
        <v>29342.159999999996</v>
      </c>
      <c r="L5" s="50"/>
      <c r="M5" s="1"/>
    </row>
    <row r="6" spans="1:13" ht="15.75" customHeight="1" x14ac:dyDescent="0.2">
      <c r="A6" s="58"/>
      <c r="B6" s="7" t="s">
        <v>11</v>
      </c>
      <c r="C6" s="8">
        <v>2078.4</v>
      </c>
      <c r="D6" s="8">
        <v>150</v>
      </c>
      <c r="E6" s="8">
        <f>C6-D6</f>
        <v>1928.4</v>
      </c>
      <c r="F6" s="8">
        <f>E6*12/24</f>
        <v>964.20000000000016</v>
      </c>
      <c r="G6" s="9">
        <f>D6/C6</f>
        <v>7.2170900692840642E-2</v>
      </c>
      <c r="H6" s="10">
        <v>1</v>
      </c>
      <c r="I6" s="11">
        <f>D6*H6*12</f>
        <v>1800</v>
      </c>
      <c r="J6" s="12">
        <f>E6*H6*12</f>
        <v>23140.800000000003</v>
      </c>
      <c r="K6" s="12">
        <f>C6*H6*12</f>
        <v>24940.800000000003</v>
      </c>
      <c r="L6" s="50"/>
      <c r="M6" s="1"/>
    </row>
    <row r="7" spans="1:13" ht="15.95" customHeight="1" x14ac:dyDescent="0.2">
      <c r="A7" s="59"/>
      <c r="B7" s="7" t="s">
        <v>12</v>
      </c>
      <c r="C7" s="13">
        <v>3484.38</v>
      </c>
      <c r="D7" s="8">
        <v>150</v>
      </c>
      <c r="E7" s="14">
        <f>C7-D7</f>
        <v>3334.38</v>
      </c>
      <c r="F7" s="41">
        <f>E7*12/24</f>
        <v>1667.1899999999998</v>
      </c>
      <c r="G7" s="9">
        <f>D7/C7</f>
        <v>4.3049265579529213E-2</v>
      </c>
      <c r="H7" s="10">
        <v>1</v>
      </c>
      <c r="I7" s="11">
        <f>D7*H7*12</f>
        <v>1800</v>
      </c>
      <c r="J7" s="12">
        <f>E7*H7*12</f>
        <v>40012.559999999998</v>
      </c>
      <c r="K7" s="12">
        <f>C7*H7*12</f>
        <v>41812.559999999998</v>
      </c>
      <c r="L7" s="51"/>
      <c r="M7" s="1"/>
    </row>
    <row r="8" spans="1:13" ht="15.95" customHeight="1" x14ac:dyDescent="0.2">
      <c r="A8" s="15" t="s">
        <v>13</v>
      </c>
      <c r="B8" s="16"/>
      <c r="C8" s="16"/>
      <c r="D8" s="16"/>
      <c r="E8" s="16"/>
      <c r="F8" s="40"/>
      <c r="G8" s="16"/>
      <c r="H8" s="17">
        <v>0</v>
      </c>
      <c r="I8" s="18">
        <f>SUM(I4:I7)</f>
        <v>7200</v>
      </c>
      <c r="J8" s="19">
        <f>SUM(J4:J7)</f>
        <v>103566.59999999999</v>
      </c>
      <c r="K8" s="20">
        <f>SUM(K4:K7)</f>
        <v>110766.59999999999</v>
      </c>
      <c r="L8" s="21"/>
      <c r="M8" s="1"/>
    </row>
    <row r="9" spans="1:13" ht="15.95" customHeight="1" x14ac:dyDescent="0.2">
      <c r="A9" s="57" t="s">
        <v>30</v>
      </c>
      <c r="B9" s="7" t="s">
        <v>9</v>
      </c>
      <c r="C9" s="8">
        <v>976.26</v>
      </c>
      <c r="D9" s="8">
        <v>150</v>
      </c>
      <c r="E9" s="8">
        <f>C9-D9</f>
        <v>826.26</v>
      </c>
      <c r="F9" s="8">
        <f>E9*12/24</f>
        <v>413.12999999999994</v>
      </c>
      <c r="G9" s="9">
        <f>D9/C9</f>
        <v>0.15364759387867985</v>
      </c>
      <c r="H9" s="10">
        <v>1</v>
      </c>
      <c r="I9" s="11">
        <f>D9*H9*12</f>
        <v>1800</v>
      </c>
      <c r="J9" s="33">
        <f>E9*H9*12</f>
        <v>9915.119999999999</v>
      </c>
      <c r="K9" s="12">
        <f>C9*H9*12</f>
        <v>11715.119999999999</v>
      </c>
      <c r="L9" s="54"/>
      <c r="M9" s="1"/>
    </row>
    <row r="10" spans="1:13" ht="15.95" customHeight="1" x14ac:dyDescent="0.2">
      <c r="A10" s="63"/>
      <c r="B10" s="7" t="s">
        <v>10</v>
      </c>
      <c r="C10" s="8">
        <v>1952.52</v>
      </c>
      <c r="D10" s="8">
        <v>150</v>
      </c>
      <c r="E10" s="8">
        <f>C10-D10</f>
        <v>1802.52</v>
      </c>
      <c r="F10" s="8">
        <f>E10*12/24</f>
        <v>901.25999999999988</v>
      </c>
      <c r="G10" s="9">
        <f>D10/C10</f>
        <v>7.6823796939339925E-2</v>
      </c>
      <c r="H10" s="10">
        <v>1</v>
      </c>
      <c r="I10" s="11">
        <f>D10*H10*12</f>
        <v>1800</v>
      </c>
      <c r="J10" s="33">
        <f>E10*H10*12</f>
        <v>21630.239999999998</v>
      </c>
      <c r="K10" s="12">
        <f>C10*H10*12</f>
        <v>23430.239999999998</v>
      </c>
      <c r="L10" s="55"/>
      <c r="M10" s="1"/>
    </row>
    <row r="11" spans="1:13" ht="15.75" customHeight="1" x14ac:dyDescent="0.2">
      <c r="A11" s="63"/>
      <c r="B11" s="7" t="s">
        <v>11</v>
      </c>
      <c r="C11" s="8">
        <v>1659.64</v>
      </c>
      <c r="D11" s="8">
        <v>150</v>
      </c>
      <c r="E11" s="8">
        <f>C11-D11</f>
        <v>1509.64</v>
      </c>
      <c r="F11" s="8">
        <f>E11*12/24</f>
        <v>754.82</v>
      </c>
      <c r="G11" s="9">
        <f>D12/C12</f>
        <v>5.3911455824953096E-2</v>
      </c>
      <c r="H11" s="10">
        <v>1</v>
      </c>
      <c r="I11" s="22">
        <f>D11*H11*12</f>
        <v>1800</v>
      </c>
      <c r="J11" s="22">
        <f>E11*H11*12</f>
        <v>18115.68</v>
      </c>
      <c r="K11" s="22">
        <f>C11*H11*12</f>
        <v>19915.68</v>
      </c>
      <c r="L11" s="55"/>
      <c r="M11" s="1"/>
    </row>
    <row r="12" spans="1:13" ht="15.95" customHeight="1" x14ac:dyDescent="0.2">
      <c r="A12" s="64"/>
      <c r="B12" s="7" t="s">
        <v>12</v>
      </c>
      <c r="C12" s="13">
        <v>2782.34</v>
      </c>
      <c r="D12" s="8">
        <v>150</v>
      </c>
      <c r="E12" s="23">
        <f>C12-D12</f>
        <v>2632.34</v>
      </c>
      <c r="F12" s="23">
        <f>E12*12/24</f>
        <v>1316.17</v>
      </c>
      <c r="G12" s="9">
        <f>D12/C12</f>
        <v>5.3911455824953096E-2</v>
      </c>
      <c r="H12" s="10">
        <v>1</v>
      </c>
      <c r="I12" s="11">
        <f>D12*H12*12</f>
        <v>1800</v>
      </c>
      <c r="J12" s="33">
        <f>E12*H12*12</f>
        <v>31588.080000000002</v>
      </c>
      <c r="K12" s="12">
        <f>C12*H12*12</f>
        <v>33388.080000000002</v>
      </c>
      <c r="L12" s="56"/>
      <c r="M12" s="1"/>
    </row>
    <row r="13" spans="1:13" ht="15.95" customHeight="1" x14ac:dyDescent="0.2">
      <c r="A13" s="15" t="s">
        <v>14</v>
      </c>
      <c r="B13" s="16"/>
      <c r="C13" s="16"/>
      <c r="D13" s="16"/>
      <c r="E13" s="16"/>
      <c r="F13" s="16"/>
      <c r="G13" s="16"/>
      <c r="H13" s="17">
        <v>0</v>
      </c>
      <c r="I13" s="18">
        <f>SUM(I9:I12)</f>
        <v>7200</v>
      </c>
      <c r="J13" s="24">
        <f>SUM(J9:J12)</f>
        <v>81249.119999999995</v>
      </c>
      <c r="K13" s="24">
        <f>SUM(K9:K12)</f>
        <v>88449.12</v>
      </c>
      <c r="L13" s="21"/>
      <c r="M13" s="1"/>
    </row>
    <row r="14" spans="1:13" ht="15.95" customHeight="1" x14ac:dyDescent="0.2">
      <c r="A14" s="57" t="s">
        <v>29</v>
      </c>
      <c r="B14" s="7" t="s">
        <v>9</v>
      </c>
      <c r="C14" s="8">
        <v>840.78</v>
      </c>
      <c r="D14" s="8">
        <v>150</v>
      </c>
      <c r="E14" s="8">
        <f>C14-D14</f>
        <v>690.78</v>
      </c>
      <c r="F14" s="8">
        <f>E14*12/24</f>
        <v>345.39000000000004</v>
      </c>
      <c r="G14" s="9">
        <f>D14/C14</f>
        <v>0.17840576607435954</v>
      </c>
      <c r="H14" s="10">
        <v>1</v>
      </c>
      <c r="I14" s="11">
        <f>D14*H14*12</f>
        <v>1800</v>
      </c>
      <c r="J14" s="33">
        <f>E14*H14*12</f>
        <v>8289.36</v>
      </c>
      <c r="K14" s="33">
        <f>C14*H14*12</f>
        <v>10089.36</v>
      </c>
      <c r="L14" s="54"/>
      <c r="M14" s="1"/>
    </row>
    <row r="15" spans="1:13" ht="15.95" customHeight="1" x14ac:dyDescent="0.2">
      <c r="A15" s="58"/>
      <c r="B15" s="7" t="s">
        <v>10</v>
      </c>
      <c r="C15" s="23">
        <v>1681.56</v>
      </c>
      <c r="D15" s="8">
        <v>150</v>
      </c>
      <c r="E15" s="8">
        <f>C15-D15</f>
        <v>1531.56</v>
      </c>
      <c r="F15" s="8">
        <f>E15*12/24</f>
        <v>765.78000000000009</v>
      </c>
      <c r="G15" s="9">
        <f>D15/C15</f>
        <v>8.920288303717977E-2</v>
      </c>
      <c r="H15" s="10">
        <v>1</v>
      </c>
      <c r="I15" s="32">
        <f>D15*H15*12</f>
        <v>1800</v>
      </c>
      <c r="J15" s="34">
        <f>E15*H15*12</f>
        <v>18378.72</v>
      </c>
      <c r="K15" s="37">
        <f>C15*H15*12</f>
        <v>20178.72</v>
      </c>
      <c r="L15" s="55"/>
      <c r="M15" s="1"/>
    </row>
    <row r="16" spans="1:13" ht="15.75" customHeight="1" x14ac:dyDescent="0.2">
      <c r="A16" s="58"/>
      <c r="B16" s="7" t="s">
        <v>11</v>
      </c>
      <c r="C16" s="8">
        <v>1429.33</v>
      </c>
      <c r="D16" s="8">
        <v>150</v>
      </c>
      <c r="E16" s="8">
        <f>C16-D16</f>
        <v>1279.33</v>
      </c>
      <c r="F16" s="8">
        <f>E16*12/24</f>
        <v>639.66499999999996</v>
      </c>
      <c r="G16" s="9">
        <f>D16/C16</f>
        <v>0.10494427459019261</v>
      </c>
      <c r="H16" s="10">
        <v>1</v>
      </c>
      <c r="I16" s="22">
        <f>D16*H15*12</f>
        <v>1800</v>
      </c>
      <c r="J16" s="22">
        <f>E16*H16*12</f>
        <v>15351.96</v>
      </c>
      <c r="K16" s="22">
        <f>C16*H16*12</f>
        <v>17151.96</v>
      </c>
      <c r="L16" s="55"/>
      <c r="M16" s="1"/>
    </row>
    <row r="17" spans="1:13" ht="15.95" customHeight="1" x14ac:dyDescent="0.2">
      <c r="A17" s="59"/>
      <c r="B17" s="7" t="s">
        <v>12</v>
      </c>
      <c r="C17" s="13">
        <v>2396.2199999999998</v>
      </c>
      <c r="D17" s="8">
        <v>150</v>
      </c>
      <c r="E17" s="8">
        <f>C17-D17</f>
        <v>2246.2199999999998</v>
      </c>
      <c r="F17" s="8">
        <f>E17*12/24</f>
        <v>1123.1099999999999</v>
      </c>
      <c r="G17" s="9">
        <f>D17/C17</f>
        <v>6.2598592783634235E-2</v>
      </c>
      <c r="H17" s="10">
        <v>1</v>
      </c>
      <c r="I17" s="22">
        <f>D17*H17*12</f>
        <v>1800</v>
      </c>
      <c r="J17" s="22">
        <f>E17*H17*12</f>
        <v>26954.639999999999</v>
      </c>
      <c r="K17" s="22">
        <f>C17*H17*12</f>
        <v>28754.639999999999</v>
      </c>
      <c r="L17" s="56"/>
      <c r="M17" s="1"/>
    </row>
    <row r="18" spans="1:13" ht="15.95" customHeight="1" x14ac:dyDescent="0.2">
      <c r="A18" s="15" t="s">
        <v>15</v>
      </c>
      <c r="B18" s="16"/>
      <c r="C18" s="16"/>
      <c r="D18" s="16"/>
      <c r="E18" s="16"/>
      <c r="F18" s="16"/>
      <c r="G18" s="16"/>
      <c r="H18" s="17">
        <v>0</v>
      </c>
      <c r="I18" s="18">
        <f>SUM(I14:I17)</f>
        <v>7200</v>
      </c>
      <c r="J18" s="24">
        <f>SUM(J14:J17)</f>
        <v>68974.679999999993</v>
      </c>
      <c r="K18" s="24">
        <f>SUM(K14:K17)</f>
        <v>76174.679999999993</v>
      </c>
      <c r="L18" s="21"/>
      <c r="M18" s="1"/>
    </row>
    <row r="19" spans="1:13" ht="15.95" customHeight="1" x14ac:dyDescent="0.2">
      <c r="A19" s="60" t="s">
        <v>31</v>
      </c>
      <c r="B19" s="7" t="s">
        <v>9</v>
      </c>
      <c r="C19" s="8">
        <v>666.76</v>
      </c>
      <c r="D19" s="8">
        <v>150</v>
      </c>
      <c r="E19" s="8">
        <f>C19-D19</f>
        <v>516.76</v>
      </c>
      <c r="F19" s="8">
        <f>E19*12/24</f>
        <v>258.38</v>
      </c>
      <c r="G19" s="9">
        <f>D19/C19</f>
        <v>0.22496850440938268</v>
      </c>
      <c r="H19" s="10">
        <v>1</v>
      </c>
      <c r="I19" s="11">
        <f>D19*H19*12</f>
        <v>1800</v>
      </c>
      <c r="J19" s="33">
        <f>E19*H19*12</f>
        <v>6201.12</v>
      </c>
      <c r="K19" s="33">
        <f>I19+J19*12</f>
        <v>76213.440000000002</v>
      </c>
      <c r="L19" s="54"/>
      <c r="M19" s="1"/>
    </row>
    <row r="20" spans="1:13" ht="15.95" customHeight="1" x14ac:dyDescent="0.2">
      <c r="A20" s="58"/>
      <c r="B20" s="7" t="s">
        <v>10</v>
      </c>
      <c r="C20" s="8">
        <v>1333.52</v>
      </c>
      <c r="D20" s="8">
        <v>150</v>
      </c>
      <c r="E20" s="8">
        <f>C20-D20</f>
        <v>1183.52</v>
      </c>
      <c r="F20" s="8">
        <f>E20*12/24</f>
        <v>591.76</v>
      </c>
      <c r="G20" s="9">
        <f>D20/C20</f>
        <v>0.11248425220469134</v>
      </c>
      <c r="H20" s="10">
        <v>1</v>
      </c>
      <c r="I20" s="35">
        <f>D20*H20*12</f>
        <v>1800</v>
      </c>
      <c r="J20" s="36">
        <f>E20*H20*12</f>
        <v>14202.24</v>
      </c>
      <c r="K20" s="36">
        <f>I20+J20*12</f>
        <v>172226.88</v>
      </c>
      <c r="L20" s="55"/>
      <c r="M20" s="1"/>
    </row>
    <row r="21" spans="1:13" ht="15.75" customHeight="1" x14ac:dyDescent="0.2">
      <c r="A21" s="58"/>
      <c r="B21" s="7" t="s">
        <v>11</v>
      </c>
      <c r="C21" s="8">
        <v>1133.49</v>
      </c>
      <c r="D21" s="8">
        <v>150</v>
      </c>
      <c r="E21" s="8">
        <f>C21-D21</f>
        <v>983.49</v>
      </c>
      <c r="F21" s="8">
        <f>E21*12/24</f>
        <v>491.74500000000006</v>
      </c>
      <c r="G21" s="9">
        <f>D21/C21</f>
        <v>0.13233464785750204</v>
      </c>
      <c r="H21" s="10">
        <v>1</v>
      </c>
      <c r="I21" s="22">
        <f>D21*H21*12</f>
        <v>1800</v>
      </c>
      <c r="J21" s="22">
        <f>E21*H21*12</f>
        <v>11801.880000000001</v>
      </c>
      <c r="K21" s="22">
        <f>I21+J21*12</f>
        <v>143422.56</v>
      </c>
      <c r="L21" s="55"/>
      <c r="M21" s="1"/>
    </row>
    <row r="22" spans="1:13" ht="15.95" customHeight="1" x14ac:dyDescent="0.2">
      <c r="A22" s="59"/>
      <c r="B22" s="7" t="s">
        <v>12</v>
      </c>
      <c r="C22" s="13">
        <v>1900.27</v>
      </c>
      <c r="D22" s="8">
        <v>150</v>
      </c>
      <c r="E22" s="8">
        <f>C22-D22</f>
        <v>1750.27</v>
      </c>
      <c r="F22" s="8">
        <f>E22*12/24</f>
        <v>875.13499999999988</v>
      </c>
      <c r="G22" s="9">
        <f>D22/C22</f>
        <v>7.8936151178516739E-2</v>
      </c>
      <c r="H22" s="10">
        <v>1</v>
      </c>
      <c r="I22" s="22">
        <f>D22*H22*12</f>
        <v>1800</v>
      </c>
      <c r="J22" s="22">
        <f>E22*H22*12</f>
        <v>21003.239999999998</v>
      </c>
      <c r="K22" s="22">
        <f>I22+J22*12</f>
        <v>253838.87999999998</v>
      </c>
      <c r="L22" s="56"/>
      <c r="M22" s="1"/>
    </row>
    <row r="23" spans="1:13" ht="15.95" customHeight="1" x14ac:dyDescent="0.2">
      <c r="A23" s="15"/>
      <c r="B23" s="16"/>
      <c r="C23" s="16"/>
      <c r="D23" s="16"/>
      <c r="E23" s="16"/>
      <c r="F23" s="16"/>
      <c r="G23" s="16"/>
      <c r="H23" s="17">
        <v>0</v>
      </c>
      <c r="I23" s="18">
        <f>SUM(I19:I22)</f>
        <v>7200</v>
      </c>
      <c r="J23" s="19">
        <f>SUM(J19:J22)</f>
        <v>53208.479999999996</v>
      </c>
      <c r="K23" s="24">
        <f>SUM(K19:K22)</f>
        <v>645701.76</v>
      </c>
      <c r="L23" s="21"/>
      <c r="M23" s="1"/>
    </row>
    <row r="24" spans="1:13" ht="16.350000000000001" customHeight="1" x14ac:dyDescent="0.2">
      <c r="A24" s="25" t="s">
        <v>17</v>
      </c>
      <c r="B24" s="26"/>
      <c r="C24" s="26"/>
      <c r="D24" s="26"/>
      <c r="E24" s="26"/>
      <c r="F24" s="26"/>
      <c r="G24" s="26"/>
      <c r="H24" s="27">
        <v>0</v>
      </c>
      <c r="I24" s="28">
        <f>I8+I13+I18+I23</f>
        <v>28800</v>
      </c>
      <c r="J24" s="29">
        <f>J8+J12+J18+J23</f>
        <v>257337.83999999997</v>
      </c>
      <c r="K24" s="30">
        <f>K8+K13+K18+K23</f>
        <v>921092.15999999992</v>
      </c>
      <c r="L24" s="31">
        <v>1</v>
      </c>
      <c r="M24" s="1"/>
    </row>
    <row r="25" spans="1:13" ht="20.2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</sheetData>
  <mergeCells count="11">
    <mergeCell ref="A14:A17"/>
    <mergeCell ref="L14:L17"/>
    <mergeCell ref="A19:A22"/>
    <mergeCell ref="L19:L22"/>
    <mergeCell ref="A25:M25"/>
    <mergeCell ref="A1:M1"/>
    <mergeCell ref="A2:L2"/>
    <mergeCell ref="A4:A7"/>
    <mergeCell ref="L4:L7"/>
    <mergeCell ref="A9:A12"/>
    <mergeCell ref="L9:L12"/>
  </mergeCells>
  <pageMargins left="0.7" right="0.7" top="0.75" bottom="0.75" header="0.3" footer="0.3"/>
  <pageSetup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weekly</vt:lpstr>
      <vt:lpstr>weekly (2)</vt:lpstr>
      <vt:lpstr>26 pay periods</vt:lpstr>
      <vt:lpstr>26 pay periods (2)</vt:lpstr>
      <vt:lpstr>Sheet1</vt:lpstr>
      <vt:lpstr>24 pays precentage</vt:lpstr>
      <vt:lpstr>24 pays flat dollar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PowerPoint Presentation</dc:title>
  <dc:creator>Tanya Stevens</dc:creator>
  <cp:lastModifiedBy>Ben Clarke</cp:lastModifiedBy>
  <cp:lastPrinted>2026-04-01T12:51:37Z</cp:lastPrinted>
  <dcterms:created xsi:type="dcterms:W3CDTF">2022-02-02T15:00:27Z</dcterms:created>
  <dcterms:modified xsi:type="dcterms:W3CDTF">2026-04-01T12:51:55Z</dcterms:modified>
</cp:coreProperties>
</file>