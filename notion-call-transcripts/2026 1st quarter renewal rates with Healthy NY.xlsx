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692a246f4dd7b0/Desktop/Clients/2026 rates sheets/"/>
    </mc:Choice>
  </mc:AlternateContent>
  <xr:revisionPtr revIDLastSave="0" documentId="8_{85B16668-D6C0-4DA2-B64B-4EEA76652803}" xr6:coauthVersionLast="47" xr6:coauthVersionMax="47" xr10:uidLastSave="{00000000-0000-0000-0000-000000000000}"/>
  <bookViews>
    <workbookView xWindow="-120" yWindow="-120" windowWidth="20730" windowHeight="11040" firstSheet="13" activeTab="13" xr2:uid="{00000000-000D-0000-FFFF-FFFF00000000}"/>
  </bookViews>
  <sheets>
    <sheet name="Gold 1" sheetId="9" state="hidden" r:id="rId1"/>
    <sheet name="Gold 2" sheetId="10" state="hidden" r:id="rId2"/>
    <sheet name="Standard" sheetId="7" state="hidden" r:id="rId3"/>
    <sheet name="Bronze Options" sheetId="8" state="hidden" r:id="rId4"/>
    <sheet name="Plat 2" sheetId="4" state="hidden" r:id="rId5"/>
    <sheet name="Silver 1" sheetId="5" state="hidden" r:id="rId6"/>
    <sheet name="Healthy NY" sheetId="2" state="hidden" r:id="rId7"/>
    <sheet name="Silver 2" sheetId="6" state="hidden" r:id="rId8"/>
    <sheet name="Plat 1" sheetId="3" state="hidden" r:id="rId9"/>
    <sheet name="All Plans" sheetId="12" state="hidden" r:id="rId10"/>
    <sheet name="DNU" sheetId="13" state="hidden" r:id="rId11"/>
    <sheet name="Sheet2" sheetId="15" state="hidden" r:id="rId12"/>
    <sheet name="Data" sheetId="14" state="hidden" r:id="rId13"/>
    <sheet name="Client Sheet" sheetId="16" r:id="rId14"/>
    <sheet name="2025" sheetId="19" r:id="rId15"/>
    <sheet name="Table" sheetId="18" r:id="rId16"/>
    <sheet name="Template" sheetId="11" state="hidden" r:id="rId17"/>
  </sheets>
  <externalReferences>
    <externalReference r:id="rId18"/>
  </externalReferences>
  <definedNames>
    <definedName name="_xlnm._FilterDatabase" localSheetId="3" hidden="1">'Bronze Options'!$A$1:$J$112</definedName>
    <definedName name="_xlnm._FilterDatabase" localSheetId="0" hidden="1">'Gold 1'!$A$1:$H$1</definedName>
    <definedName name="_xlnm._FilterDatabase" localSheetId="1" hidden="1">'Gold 2'!$A$1:$H$1</definedName>
    <definedName name="_xlnm._FilterDatabase" localSheetId="8" hidden="1">'Plat 1'!$A$1:$H$1</definedName>
    <definedName name="_xlnm._FilterDatabase" localSheetId="4" hidden="1">'Plat 2'!$A$1:$F$1</definedName>
    <definedName name="_xlnm._FilterDatabase" localSheetId="5" hidden="1">'Silver 1'!$A$1:$H$1</definedName>
    <definedName name="_xlnm._FilterDatabase" localSheetId="7" hidden="1">'Silver 2'!$A$1:$J$117</definedName>
    <definedName name="_xlnm._FilterDatabase" localSheetId="2" hidden="1">Standard!$A$1:$J$1</definedName>
    <definedName name="Current_Year_Plans">'[1]Master '!$C$71:$C$138</definedName>
    <definedName name="Gold19">Data!$B$2</definedName>
    <definedName name="Previous_Year_Plans">'[1]Master '!$C$2:$C$69</definedName>
    <definedName name="_xlnm.Print_Area" localSheetId="13">'Client Sheet'!$A$1:$F$26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6" l="1"/>
  <c r="C5" i="16"/>
  <c r="C4" i="16"/>
  <c r="C3" i="16"/>
  <c r="C25" i="16"/>
  <c r="C24" i="16"/>
  <c r="C23" i="16"/>
  <c r="C22" i="16"/>
  <c r="C21" i="16"/>
  <c r="C20" i="16"/>
  <c r="C19" i="16"/>
  <c r="C18" i="16"/>
  <c r="C17" i="16"/>
  <c r="C16" i="16"/>
  <c r="C15" i="16"/>
  <c r="C7" i="16" l="1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D16" i="16"/>
  <c r="D17" i="16"/>
  <c r="D18" i="16"/>
  <c r="D19" i="16"/>
  <c r="D20" i="16"/>
  <c r="D21" i="16"/>
  <c r="D22" i="16"/>
  <c r="D23" i="16"/>
  <c r="D24" i="16"/>
  <c r="D25" i="16"/>
  <c r="D15" i="16"/>
  <c r="E2" i="16"/>
  <c r="F2" i="16"/>
  <c r="E3" i="16"/>
  <c r="F3" i="16"/>
  <c r="E4" i="16"/>
  <c r="F4" i="16"/>
  <c r="E5" i="16"/>
  <c r="F5" i="16"/>
  <c r="D3" i="16"/>
  <c r="D4" i="16"/>
  <c r="D5" i="16"/>
  <c r="D2" i="16"/>
  <c r="C8" i="16" l="1"/>
  <c r="C52" i="11"/>
  <c r="C53" i="11" s="1"/>
  <c r="F1" i="16"/>
  <c r="AE44" i="15"/>
  <c r="AD44" i="15"/>
  <c r="AC44" i="15"/>
  <c r="AB44" i="15"/>
  <c r="AB45" i="15" s="1"/>
  <c r="AA44" i="15"/>
  <c r="AA45" i="15" s="1"/>
  <c r="Z44" i="15"/>
  <c r="Z45" i="15" s="1"/>
  <c r="Y44" i="15"/>
  <c r="Y45" i="15" s="1"/>
  <c r="X44" i="15"/>
  <c r="X45" i="15" s="1"/>
  <c r="W44" i="15"/>
  <c r="V44" i="15"/>
  <c r="U44" i="15"/>
  <c r="T44" i="15"/>
  <c r="S44" i="15"/>
  <c r="S45" i="15" s="1"/>
  <c r="R44" i="15"/>
  <c r="R45" i="15" s="1"/>
  <c r="Q44" i="15"/>
  <c r="Q45" i="15" s="1"/>
  <c r="P44" i="15"/>
  <c r="O44" i="15"/>
  <c r="N44" i="15"/>
  <c r="M44" i="15"/>
  <c r="L44" i="15"/>
  <c r="L45" i="15" s="1"/>
  <c r="K44" i="15"/>
  <c r="K45" i="15" s="1"/>
  <c r="J44" i="15"/>
  <c r="J45" i="15" s="1"/>
  <c r="I44" i="15"/>
  <c r="I45" i="15" s="1"/>
  <c r="H44" i="15"/>
  <c r="G44" i="15"/>
  <c r="F44" i="15"/>
  <c r="E44" i="15"/>
  <c r="D44" i="15"/>
  <c r="C44" i="15"/>
  <c r="C45" i="15" s="1"/>
  <c r="AE49" i="12"/>
  <c r="AE50" i="12" s="1"/>
  <c r="D49" i="12"/>
  <c r="D50" i="12" s="1"/>
  <c r="E49" i="12"/>
  <c r="E50" i="12" s="1"/>
  <c r="F49" i="12"/>
  <c r="F50" i="12" s="1"/>
  <c r="G49" i="12"/>
  <c r="G50" i="12" s="1"/>
  <c r="H49" i="12"/>
  <c r="H50" i="12" s="1"/>
  <c r="I49" i="12"/>
  <c r="I50" i="12" s="1"/>
  <c r="J49" i="12"/>
  <c r="J50" i="12" s="1"/>
  <c r="K49" i="12"/>
  <c r="K50" i="12" s="1"/>
  <c r="L49" i="12"/>
  <c r="L50" i="12" s="1"/>
  <c r="M49" i="12"/>
  <c r="M50" i="12" s="1"/>
  <c r="N49" i="12"/>
  <c r="N50" i="12" s="1"/>
  <c r="O49" i="12"/>
  <c r="P49" i="12"/>
  <c r="P50" i="12" s="1"/>
  <c r="Q49" i="12"/>
  <c r="Q50" i="12" s="1"/>
  <c r="R49" i="12"/>
  <c r="R50" i="12" s="1"/>
  <c r="S49" i="12"/>
  <c r="S50" i="12" s="1"/>
  <c r="T49" i="12"/>
  <c r="T50" i="12" s="1"/>
  <c r="U49" i="12"/>
  <c r="U50" i="12" s="1"/>
  <c r="V49" i="12"/>
  <c r="V50" i="12" s="1"/>
  <c r="W49" i="12"/>
  <c r="W50" i="12" s="1"/>
  <c r="X49" i="12"/>
  <c r="X50" i="12" s="1"/>
  <c r="Y49" i="12"/>
  <c r="Z49" i="12"/>
  <c r="Z50" i="12" s="1"/>
  <c r="AA49" i="12"/>
  <c r="AA50" i="12" s="1"/>
  <c r="AB49" i="12"/>
  <c r="AB50" i="12" s="1"/>
  <c r="AC49" i="12"/>
  <c r="AD49" i="12"/>
  <c r="AD50" i="12" s="1"/>
  <c r="C49" i="12"/>
  <c r="C50" i="12" s="1"/>
  <c r="AE43" i="12"/>
  <c r="AD43" i="12"/>
  <c r="AC43" i="12"/>
  <c r="AA43" i="12"/>
  <c r="Z43" i="12"/>
  <c r="Y43" i="12"/>
  <c r="W43" i="12"/>
  <c r="V43" i="12"/>
  <c r="U43" i="12"/>
  <c r="S43" i="12"/>
  <c r="R43" i="12"/>
  <c r="Q43" i="12"/>
  <c r="P43" i="12"/>
  <c r="O43" i="12"/>
  <c r="N43" i="12"/>
  <c r="L43" i="12"/>
  <c r="K43" i="12"/>
  <c r="J43" i="12"/>
  <c r="H43" i="12"/>
  <c r="G43" i="12"/>
  <c r="F43" i="12"/>
  <c r="G46" i="11"/>
  <c r="F46" i="11"/>
  <c r="E46" i="11"/>
  <c r="I53" i="12" l="1"/>
  <c r="F7" i="16"/>
  <c r="F8" i="16" s="1"/>
  <c r="F11" i="16" s="1"/>
  <c r="E7" i="16"/>
  <c r="E8" i="16" s="1"/>
  <c r="E12" i="16" s="1"/>
  <c r="D7" i="16"/>
  <c r="D8" i="16" s="1"/>
  <c r="D12" i="16" s="1"/>
  <c r="T49" i="15"/>
  <c r="T45" i="15"/>
  <c r="T48" i="15" s="1"/>
  <c r="T47" i="15"/>
  <c r="E49" i="15"/>
  <c r="U49" i="15"/>
  <c r="F49" i="15"/>
  <c r="V49" i="15"/>
  <c r="AB47" i="15"/>
  <c r="G49" i="15"/>
  <c r="O49" i="15"/>
  <c r="W49" i="15"/>
  <c r="AE49" i="15"/>
  <c r="L49" i="15"/>
  <c r="D47" i="15"/>
  <c r="D49" i="15"/>
  <c r="M49" i="15"/>
  <c r="AC49" i="15"/>
  <c r="N47" i="15"/>
  <c r="AD49" i="15"/>
  <c r="H49" i="15"/>
  <c r="P47" i="15"/>
  <c r="D45" i="15"/>
  <c r="D48" i="15" s="1"/>
  <c r="P49" i="15"/>
  <c r="X47" i="15"/>
  <c r="I48" i="15"/>
  <c r="Q48" i="15"/>
  <c r="Y48" i="15"/>
  <c r="P45" i="15"/>
  <c r="P48" i="15" s="1"/>
  <c r="AC45" i="15"/>
  <c r="AC48" i="15" s="1"/>
  <c r="N49" i="15"/>
  <c r="F47" i="15"/>
  <c r="H47" i="15"/>
  <c r="F45" i="15"/>
  <c r="V45" i="15"/>
  <c r="L47" i="15"/>
  <c r="X49" i="15"/>
  <c r="N45" i="15"/>
  <c r="N48" i="15" s="1"/>
  <c r="V47" i="15"/>
  <c r="E45" i="15"/>
  <c r="E48" i="15" s="1"/>
  <c r="H45" i="15"/>
  <c r="H48" i="15" s="1"/>
  <c r="AB49" i="15"/>
  <c r="M45" i="15"/>
  <c r="M48" i="15" s="1"/>
  <c r="AD45" i="15"/>
  <c r="AD48" i="15" s="1"/>
  <c r="U45" i="15"/>
  <c r="U48" i="15" s="1"/>
  <c r="AD47" i="15"/>
  <c r="J48" i="15"/>
  <c r="R48" i="15"/>
  <c r="Z48" i="15"/>
  <c r="F48" i="15"/>
  <c r="V48" i="15"/>
  <c r="K48" i="15"/>
  <c r="S48" i="15"/>
  <c r="AA48" i="15"/>
  <c r="X48" i="15"/>
  <c r="L48" i="15"/>
  <c r="AB48" i="15"/>
  <c r="Q47" i="15"/>
  <c r="I49" i="15"/>
  <c r="Y49" i="15"/>
  <c r="J47" i="15"/>
  <c r="R47" i="15"/>
  <c r="Z47" i="15"/>
  <c r="J49" i="15"/>
  <c r="R49" i="15"/>
  <c r="Z49" i="15"/>
  <c r="I47" i="15"/>
  <c r="Y47" i="15"/>
  <c r="Q49" i="15"/>
  <c r="G45" i="15"/>
  <c r="G48" i="15" s="1"/>
  <c r="O45" i="15"/>
  <c r="O48" i="15" s="1"/>
  <c r="W45" i="15"/>
  <c r="W48" i="15" s="1"/>
  <c r="AE45" i="15"/>
  <c r="AE48" i="15" s="1"/>
  <c r="K47" i="15"/>
  <c r="S47" i="15"/>
  <c r="AA47" i="15"/>
  <c r="K49" i="15"/>
  <c r="S49" i="15"/>
  <c r="AA49" i="15"/>
  <c r="E47" i="15"/>
  <c r="M47" i="15"/>
  <c r="U47" i="15"/>
  <c r="AC47" i="15"/>
  <c r="G47" i="15"/>
  <c r="O47" i="15"/>
  <c r="W47" i="15"/>
  <c r="AE47" i="15"/>
  <c r="X53" i="12"/>
  <c r="M53" i="12"/>
  <c r="AB53" i="12"/>
  <c r="E53" i="12"/>
  <c r="W53" i="12"/>
  <c r="H53" i="12"/>
  <c r="AD53" i="12"/>
  <c r="V53" i="12"/>
  <c r="O52" i="12"/>
  <c r="AC54" i="12"/>
  <c r="Z53" i="12"/>
  <c r="R53" i="12"/>
  <c r="K53" i="12"/>
  <c r="AE53" i="12"/>
  <c r="Y54" i="12"/>
  <c r="AA53" i="12"/>
  <c r="AC50" i="12"/>
  <c r="AC53" i="12" s="1"/>
  <c r="H52" i="12"/>
  <c r="S52" i="12"/>
  <c r="N54" i="12"/>
  <c r="AC52" i="12"/>
  <c r="R52" i="12"/>
  <c r="P53" i="12"/>
  <c r="W54" i="12"/>
  <c r="M54" i="12"/>
  <c r="Y50" i="12"/>
  <c r="Y53" i="12" s="1"/>
  <c r="AA52" i="12"/>
  <c r="Q52" i="12"/>
  <c r="G52" i="12"/>
  <c r="D54" i="12"/>
  <c r="U54" i="12"/>
  <c r="L54" i="12"/>
  <c r="J53" i="12"/>
  <c r="Z52" i="12"/>
  <c r="P52" i="12"/>
  <c r="F52" i="12"/>
  <c r="AE54" i="12"/>
  <c r="T54" i="12"/>
  <c r="J54" i="12"/>
  <c r="O50" i="12"/>
  <c r="O53" i="12" s="1"/>
  <c r="Y52" i="12"/>
  <c r="D53" i="12"/>
  <c r="L53" i="12"/>
  <c r="S54" i="12"/>
  <c r="I54" i="12"/>
  <c r="J52" i="12"/>
  <c r="Q54" i="12"/>
  <c r="X54" i="12"/>
  <c r="V52" i="12"/>
  <c r="L52" i="12"/>
  <c r="S53" i="12"/>
  <c r="AA54" i="12"/>
  <c r="F54" i="12"/>
  <c r="AD52" i="12"/>
  <c r="G53" i="12"/>
  <c r="W52" i="12"/>
  <c r="N52" i="12"/>
  <c r="T53" i="12"/>
  <c r="AB54" i="12"/>
  <c r="H54" i="12"/>
  <c r="AE52" i="12"/>
  <c r="U52" i="12"/>
  <c r="K52" i="12"/>
  <c r="P54" i="12"/>
  <c r="E54" i="12"/>
  <c r="D52" i="12"/>
  <c r="X52" i="12"/>
  <c r="I52" i="12"/>
  <c r="U53" i="12"/>
  <c r="N53" i="12"/>
  <c r="F53" i="12"/>
  <c r="Z54" i="12"/>
  <c r="R54" i="12"/>
  <c r="K54" i="12"/>
  <c r="AB52" i="12"/>
  <c r="T52" i="12"/>
  <c r="M52" i="12"/>
  <c r="E52" i="12"/>
  <c r="Q53" i="12"/>
  <c r="AD54" i="12"/>
  <c r="V54" i="12"/>
  <c r="O54" i="12"/>
  <c r="G54" i="12"/>
  <c r="D11" i="16" l="1"/>
  <c r="F10" i="16"/>
  <c r="E11" i="16"/>
  <c r="E10" i="16"/>
  <c r="F12" i="16"/>
  <c r="D10" i="16"/>
  <c r="D59" i="11"/>
  <c r="D55" i="11"/>
  <c r="E55" i="11"/>
  <c r="E56" i="11"/>
  <c r="E52" i="11"/>
  <c r="E53" i="11"/>
  <c r="E57" i="11"/>
  <c r="G56" i="11"/>
  <c r="G53" i="11"/>
  <c r="G57" i="11"/>
  <c r="D57" i="11"/>
  <c r="D52" i="11"/>
  <c r="D53" i="11"/>
  <c r="D56" i="11"/>
  <c r="G52" i="11"/>
  <c r="G55" i="11"/>
  <c r="C37" i="11"/>
  <c r="C31" i="11"/>
  <c r="C25" i="11"/>
  <c r="C30" i="11"/>
  <c r="C42" i="11"/>
  <c r="C32" i="11"/>
  <c r="C24" i="11"/>
  <c r="C45" i="11"/>
  <c r="C28" i="11"/>
  <c r="C7" i="11"/>
  <c r="C4" i="11"/>
  <c r="C43" i="11"/>
  <c r="C29" i="11"/>
  <c r="C19" i="11"/>
  <c r="C36" i="11"/>
  <c r="C18" i="11"/>
  <c r="C33" i="11"/>
  <c r="C21" i="11"/>
  <c r="C35" i="11"/>
  <c r="C9" i="11"/>
  <c r="C20" i="11"/>
  <c r="C27" i="11"/>
  <c r="C8" i="11"/>
  <c r="C6" i="11"/>
  <c r="C44" i="11"/>
  <c r="C26" i="11"/>
  <c r="C40" i="11"/>
  <c r="C38" i="11"/>
  <c r="C23" i="11"/>
  <c r="C5" i="11"/>
  <c r="C39" i="11"/>
  <c r="E25" i="11"/>
  <c r="E37" i="11"/>
  <c r="E35" i="11"/>
  <c r="E6" i="11"/>
  <c r="E43" i="11"/>
  <c r="E18" i="11"/>
  <c r="E44" i="11"/>
  <c r="E28" i="11"/>
  <c r="E33" i="11"/>
  <c r="E26" i="11"/>
  <c r="E49" i="11"/>
  <c r="E40" i="11"/>
  <c r="E36" i="11"/>
  <c r="E42" i="11"/>
  <c r="E31" i="11"/>
  <c r="E27" i="11"/>
  <c r="E48" i="11"/>
  <c r="E19" i="11"/>
  <c r="E39" i="11"/>
  <c r="E50" i="11"/>
  <c r="E21" i="11"/>
  <c r="E9" i="11"/>
  <c r="E32" i="11"/>
  <c r="E38" i="11"/>
  <c r="E45" i="11"/>
  <c r="E23" i="11"/>
  <c r="E20" i="11"/>
  <c r="E8" i="11"/>
  <c r="E47" i="11"/>
  <c r="E30" i="11"/>
  <c r="E7" i="11"/>
  <c r="E24" i="11"/>
  <c r="E4" i="11"/>
  <c r="E5" i="11"/>
  <c r="E29" i="11"/>
  <c r="G8" i="11"/>
  <c r="G32" i="11"/>
  <c r="G50" i="11"/>
  <c r="G28" i="11"/>
  <c r="G7" i="11"/>
  <c r="G44" i="11"/>
  <c r="G31" i="11"/>
  <c r="G47" i="11"/>
  <c r="G29" i="11"/>
  <c r="G26" i="11"/>
  <c r="G33" i="11"/>
  <c r="G48" i="11"/>
  <c r="G6" i="11"/>
  <c r="G27" i="11"/>
  <c r="G38" i="11"/>
  <c r="G37" i="11"/>
  <c r="G43" i="11"/>
  <c r="G42" i="11"/>
  <c r="G24" i="11"/>
  <c r="G20" i="11"/>
  <c r="G9" i="11"/>
  <c r="G36" i="11"/>
  <c r="G35" i="11"/>
  <c r="G49" i="11"/>
  <c r="G30" i="11"/>
  <c r="G39" i="11"/>
  <c r="G45" i="11"/>
  <c r="G23" i="11"/>
  <c r="G25" i="11"/>
  <c r="G4" i="11"/>
  <c r="G19" i="11"/>
  <c r="G18" i="11"/>
  <c r="G21" i="11"/>
  <c r="G5" i="11"/>
  <c r="G40" i="11"/>
  <c r="F48" i="11"/>
  <c r="F44" i="11"/>
  <c r="F9" i="11"/>
  <c r="F43" i="11"/>
  <c r="F49" i="11"/>
  <c r="F30" i="11"/>
  <c r="F18" i="11"/>
  <c r="F23" i="11"/>
  <c r="F20" i="11"/>
  <c r="F8" i="11"/>
  <c r="F33" i="11"/>
  <c r="F29" i="11"/>
  <c r="F26" i="11"/>
  <c r="F19" i="11"/>
  <c r="F21" i="11"/>
  <c r="F45" i="11"/>
  <c r="F50" i="11"/>
  <c r="F4" i="11"/>
  <c r="F31" i="11"/>
  <c r="F27" i="11"/>
  <c r="F38" i="11"/>
  <c r="F42" i="11"/>
  <c r="F47" i="11"/>
  <c r="F25" i="11"/>
  <c r="F7" i="11"/>
  <c r="F40" i="11"/>
  <c r="F24" i="11"/>
  <c r="F6" i="11"/>
  <c r="F36" i="11"/>
  <c r="F35" i="11"/>
  <c r="F32" i="11"/>
  <c r="F28" i="11"/>
  <c r="F39" i="11"/>
  <c r="F5" i="11"/>
  <c r="F37" i="11"/>
  <c r="D50" i="11"/>
  <c r="D4" i="11"/>
  <c r="D42" i="11"/>
  <c r="D28" i="11"/>
  <c r="D43" i="11"/>
  <c r="D24" i="11"/>
  <c r="D37" i="11"/>
  <c r="D31" i="11"/>
  <c r="D35" i="11"/>
  <c r="D8" i="11"/>
  <c r="D38" i="11"/>
  <c r="D45" i="11"/>
  <c r="D27" i="11"/>
  <c r="D25" i="11"/>
  <c r="D40" i="11"/>
  <c r="D18" i="11"/>
  <c r="D47" i="11"/>
  <c r="D29" i="11"/>
  <c r="D20" i="11"/>
  <c r="D30" i="11"/>
  <c r="D7" i="11"/>
  <c r="D36" i="11"/>
  <c r="D48" i="11"/>
  <c r="D19" i="11"/>
  <c r="D49" i="11"/>
  <c r="D33" i="11"/>
  <c r="D39" i="11"/>
  <c r="D32" i="11"/>
  <c r="D6" i="11"/>
  <c r="D23" i="11"/>
  <c r="D44" i="11"/>
  <c r="D9" i="11"/>
  <c r="D21" i="11"/>
  <c r="D5" i="11"/>
  <c r="D26" i="11"/>
  <c r="F57" i="11"/>
  <c r="F53" i="11"/>
  <c r="F56" i="11"/>
  <c r="F52" i="11"/>
  <c r="F55" i="11"/>
</calcChain>
</file>

<file path=xl/sharedStrings.xml><?xml version="1.0" encoding="utf-8"?>
<sst xmlns="http://schemas.openxmlformats.org/spreadsheetml/2006/main" count="10722" uniqueCount="840">
  <si>
    <t>SimplyBlue Plus Gold 19</t>
  </si>
  <si>
    <t>SimplyBlue Plus Gold 20</t>
  </si>
  <si>
    <t>SimplyBlue Plus Gold 21</t>
  </si>
  <si>
    <t>Plan Overview</t>
  </si>
  <si>
    <t>Plan ID</t>
  </si>
  <si>
    <t>Plan Name</t>
  </si>
  <si>
    <t>Aggregation Design</t>
  </si>
  <si>
    <t>Individual Aggregation</t>
  </si>
  <si>
    <t>Family Aggregation</t>
  </si>
  <si>
    <t>Plan Highlights</t>
  </si>
  <si>
    <t>A deductible is applied to select covered medical benefits, prescription drugs are not subject to the deductible.  Preventive services are covered in full, includes Active&amp;Fit ExerciseRewards.</t>
  </si>
  <si>
    <t>A deductible is applied to all covered medical and prescription drug benefits. Preventive services are covered in full. Plan includes Active&amp;Fit ExerciseRewards.</t>
  </si>
  <si>
    <t>Plan Type</t>
  </si>
  <si>
    <t>Hybrid</t>
  </si>
  <si>
    <t>Deductible HSA</t>
  </si>
  <si>
    <t>HSA Eligible</t>
  </si>
  <si>
    <t>No</t>
  </si>
  <si>
    <t>Yes</t>
  </si>
  <si>
    <t>Quote Effective</t>
  </si>
  <si>
    <t>01/01/2022 - 03/31/2022</t>
  </si>
  <si>
    <t>Rate ($)</t>
  </si>
  <si>
    <t>Small Group</t>
  </si>
  <si>
    <t>Single</t>
  </si>
  <si>
    <t>Subscriber &amp; Spouse</t>
  </si>
  <si>
    <t>Subscriber &amp; Child(ren)</t>
  </si>
  <si>
    <t>Family</t>
  </si>
  <si>
    <t>Plan features</t>
  </si>
  <si>
    <t>Primary Care Physician (PCP)</t>
  </si>
  <si>
    <t>Not Required</t>
  </si>
  <si>
    <t>Referrals</t>
  </si>
  <si>
    <t>Out of network benefits</t>
  </si>
  <si>
    <t>Covered at 60%, subject to the deductible</t>
  </si>
  <si>
    <t>Out of area benefits</t>
  </si>
  <si>
    <t>Coverage provided worldwide through our BlueCard Network</t>
  </si>
  <si>
    <t>Student/Dependent coverage</t>
  </si>
  <si>
    <t>Qualified dependents are covered to age 26</t>
  </si>
  <si>
    <t>Domestic partner</t>
  </si>
  <si>
    <t>Covered</t>
  </si>
  <si>
    <t>Wellness Incentives</t>
  </si>
  <si>
    <t>Active&amp;Fit ExerciseRewards receive up to $600 in rewards a year by visiting a qualified fitness facility or by tracking your steps using a wearable device.  Save on Gym memberships with Active&amp;Fit Direct.</t>
  </si>
  <si>
    <t>Plan cost-sharing highlights</t>
  </si>
  <si>
    <t>In-Network</t>
  </si>
  <si>
    <t>Out-of-Network</t>
  </si>
  <si>
    <t>Primary Care Office Visit</t>
  </si>
  <si>
    <t>$40 copay per visit</t>
  </si>
  <si>
    <t>Covered at 80%, subject to the deductible</t>
  </si>
  <si>
    <t>$25 copay per visit, subject to deductible</t>
  </si>
  <si>
    <t>Specialist Office Visit</t>
  </si>
  <si>
    <t>$60 copay per visit</t>
  </si>
  <si>
    <t>$40 copay per visit, subject to deductible</t>
  </si>
  <si>
    <t>Coinsurance</t>
  </si>
  <si>
    <t>Covered at 80%</t>
  </si>
  <si>
    <t>Covered at 60%</t>
  </si>
  <si>
    <t>Covered at 100%</t>
  </si>
  <si>
    <t>Deductible</t>
  </si>
  <si>
    <t>In-Network: $2,250 Individual /</t>
  </si>
  <si>
    <t>Out-of-Network: $5,000 Individual / $10,000 Family</t>
  </si>
  <si>
    <t>$3,600 Family</t>
  </si>
  <si>
    <t>In-Network: $2,000 Individual /</t>
  </si>
  <si>
    <t>$4,000 Family</t>
  </si>
  <si>
    <t>Out of pocket maximum</t>
  </si>
  <si>
    <t>$6,850 Individual / $13,700 Family</t>
  </si>
  <si>
    <t>$10,000 Individual / $20,000 Family</t>
  </si>
  <si>
    <t>$3,600 Individual / $7,200 Family</t>
  </si>
  <si>
    <t>$6,000 Individual / $12,000 Family</t>
  </si>
  <si>
    <t>Lifetime maximum</t>
  </si>
  <si>
    <t>None</t>
  </si>
  <si>
    <t>Plan Benefits</t>
  </si>
  <si>
    <t>Preventive Healthcare Services</t>
  </si>
  <si>
    <t>Well child visits</t>
  </si>
  <si>
    <t>Covered In Full</t>
  </si>
  <si>
    <t>Adult routine physical exams</t>
  </si>
  <si>
    <t>+Adult immunizations</t>
  </si>
  <si>
    <t>+Mammography</t>
  </si>
  <si>
    <t>+Pap smear</t>
  </si>
  <si>
    <t>Routine GYN Exam</t>
  </si>
  <si>
    <t>+Prostate cancer screening</t>
  </si>
  <si>
    <t>+Colonoscopy</t>
  </si>
  <si>
    <t>Preventive screenings covered in full</t>
  </si>
  <si>
    <t>+Family Planning Services</t>
  </si>
  <si>
    <t>Physician Office Services</t>
  </si>
  <si>
    <t>Diagnostic office visits</t>
  </si>
  <si>
    <t>$40 PCP copay; $60 Specialist copay per visit</t>
  </si>
  <si>
    <t>Telemedicine and Telehealth Services</t>
  </si>
  <si>
    <t>Covered In Full, subject to deductible</t>
  </si>
  <si>
    <t>Diagnostic x-rays</t>
  </si>
  <si>
    <t>Advanced Imaging</t>
  </si>
  <si>
    <t>$100 copay per visit</t>
  </si>
  <si>
    <t>Covered at 60%, subject to</t>
  </si>
  <si>
    <t>Covered at 80%, subject to</t>
  </si>
  <si>
    <t>$100 copay per visit, subject</t>
  </si>
  <si>
    <t>Services</t>
  </si>
  <si>
    <t>the deductible</t>
  </si>
  <si>
    <t>to the deductible</t>
  </si>
  <si>
    <t>Diagnostic laboratory and pathology</t>
  </si>
  <si>
    <t>Allergy tests</t>
  </si>
  <si>
    <t>$25 PCP copay; $40 Specialist copay per visit, subject to deductible</t>
  </si>
  <si>
    <t>Allergy injections</t>
  </si>
  <si>
    <t>Chemotherapy</t>
  </si>
  <si>
    <t>$25 PCP copay per visit, subject to deductible</t>
  </si>
  <si>
    <t>Radiation therapy</t>
  </si>
  <si>
    <t>$40 PCP copay per visit, subject to deductible</t>
  </si>
  <si>
    <t>Maternity Services</t>
  </si>
  <si>
    <t>Prenatal care</t>
  </si>
  <si>
    <t>Covered in full (Cost share may apply to ultrasounds, lab work and sick visits)</t>
  </si>
  <si>
    <t>Hospital care for mom (including delivery)</t>
  </si>
  <si>
    <t>Subject to $500 copay per admission, subject to the deductible</t>
  </si>
  <si>
    <t>Covered at 60% per admission, subject to the deductible</t>
  </si>
  <si>
    <t>Newborn nursery care</t>
  </si>
  <si>
    <t>Prescription Drug</t>
  </si>
  <si>
    <t>Prescription Drug Coverage</t>
  </si>
  <si>
    <t>$5/$45/$90</t>
  </si>
  <si>
    <t>Not Covered</t>
  </si>
  <si>
    <t>$5/$45/$90, subject to the plan deductible. Preventive drugs are not subject to the deductible; they are subject to the applicable copay or coinsurance.</t>
  </si>
  <si>
    <t>Diabetic drugs, insulin, and supplies</t>
  </si>
  <si>
    <t>$40 copay per 30 day supply</t>
  </si>
  <si>
    <t>$25 copay, subject to deductible per 30 day supply</t>
  </si>
  <si>
    <t>Inpatient Hospital Benefits</t>
  </si>
  <si>
    <t>Hospital benefits</t>
  </si>
  <si>
    <t>Covered at 80%  per admission for unlimited days, subject to the deductible</t>
  </si>
  <si>
    <t>Covered at 60% per admission for unlimited days, subject to the deductible</t>
  </si>
  <si>
    <t>Subject to $500 copay per admission for unlimited days, subject to the deductible</t>
  </si>
  <si>
    <t>Physician visits in the hospital</t>
  </si>
  <si>
    <t>Inpatient physical rehabilitation</t>
  </si>
  <si>
    <t>Covered at 80% per 60 day stay per admission per contract year, subject to the deductible</t>
  </si>
  <si>
    <t>Covered at 60% per 60 day stay per admission per contract year, subject to the deductible</t>
  </si>
  <si>
    <t>Subject to $500 copay per admission for up to 60 days per per contract year, subject to the deductible</t>
  </si>
  <si>
    <t>Covered at 60% per admission for up to 60 days per contract year, subject to the deductible</t>
  </si>
  <si>
    <t>Surgery</t>
  </si>
  <si>
    <t>Anesthesia</t>
  </si>
  <si>
    <t>Emergency Care</t>
  </si>
  <si>
    <t>Emergency room care</t>
  </si>
  <si>
    <t>$350 copay per visit</t>
  </si>
  <si>
    <t>$150 copay per visit, subject to deductible</t>
  </si>
  <si>
    <t>Freestanding urgent care center</t>
  </si>
  <si>
    <t>Ambulance</t>
  </si>
  <si>
    <t>Outpatient Hospital Benefits</t>
  </si>
  <si>
    <t>$40 copay per visit, subject to the deductible</t>
  </si>
  <si>
    <t>Advanced Imaging Services</t>
  </si>
  <si>
    <t>$100 copay per visit, subject to the deductible</t>
  </si>
  <si>
    <t>$25 copay per visit, subject to the deductible</t>
  </si>
  <si>
    <t>Surgical Care Facility Fee</t>
  </si>
  <si>
    <t>$150 copay per visit; subject to deductible</t>
  </si>
  <si>
    <t>Radiation Therapy</t>
  </si>
  <si>
    <t>Mental Health and Substance Use</t>
  </si>
  <si>
    <t>Inpatient mental health care</t>
  </si>
  <si>
    <t>Covered at 80% per admission for unlimited days, subject to the deductible</t>
  </si>
  <si>
    <t>Outpatient mental health care</t>
  </si>
  <si>
    <t>3 visits covered in full.  Next visits covered at $40 copay per visit</t>
  </si>
  <si>
    <t>Inpatient substance use</t>
  </si>
  <si>
    <t>Outpatient substance use</t>
  </si>
  <si>
    <t>Other Services</t>
  </si>
  <si>
    <t>Skilled nursing facility</t>
  </si>
  <si>
    <t>Covered at 80% per admission for 200 days per year, subject to the deductible</t>
  </si>
  <si>
    <t>Covered at 60% per admission for 200 days per year, subject to the deductible</t>
  </si>
  <si>
    <t>Subject to $500 copay per admission for up to 200 days per year, subject to the deductible</t>
  </si>
  <si>
    <t>Covered at 60% per admission for up to 200 days per year, subject to the deductible</t>
  </si>
  <si>
    <t>Home care</t>
  </si>
  <si>
    <t>Covered at 80% for up to 40 visits per year, subject to the deductible</t>
  </si>
  <si>
    <t>Covered at 60% for up to 40 visits per year, subject to the deductible</t>
  </si>
  <si>
    <t>$25 copay per visit for 40 visits per year, subject to the deductible</t>
  </si>
  <si>
    <t>Covered at 60%. for up to 40 visits per year, subject to the deductible</t>
  </si>
  <si>
    <t>Hospice</t>
  </si>
  <si>
    <t>Covered at 80% for up to 210 visits per year, subject to the deductible</t>
  </si>
  <si>
    <t>Covered at 60% for up to 210 visits per year, subject to the deductible</t>
  </si>
  <si>
    <t>Covered at 60%  for up to 210 visits per year, subject to the deductible</t>
  </si>
  <si>
    <t>deductible</t>
  </si>
  <si>
    <t>Outpatient therapy</t>
  </si>
  <si>
    <t>$60 for physical, speech and occupational therapy for up to 60 visits per contract year</t>
  </si>
  <si>
    <t>Covered at 60%, subject to the deductible for physical, speech and occupational therapy for up to 60 visits per contract year</t>
  </si>
  <si>
    <t>Covered at 80%, subject to the deductible for physical, speech and occupational therapy for up to 60 visits per contract year</t>
  </si>
  <si>
    <t>$40 per visit, subject to deductible for physical, speech and occupational therapy for up to 60 visits per contract year</t>
  </si>
  <si>
    <t>Durable medical equipment</t>
  </si>
  <si>
    <t>Covered at 50%, subject to the deductible</t>
  </si>
  <si>
    <t>External prosthetics</t>
  </si>
  <si>
    <t>Chiropractic</t>
  </si>
  <si>
    <t>Acupuncture</t>
  </si>
  <si>
    <t>Hearing Aids</t>
  </si>
  <si>
    <t>Covered at 50% , subject to the deductible for a single purchase once every 3 years</t>
  </si>
  <si>
    <t>Covered at 50%, subject to the deductible for a single purchase once every 3 years</t>
  </si>
  <si>
    <t>Vision Benefits</t>
  </si>
  <si>
    <t>Adult Routine Vision Exam</t>
  </si>
  <si>
    <t>One routine exam covered in full per year</t>
  </si>
  <si>
    <t>Covered at 60% for one routine exam every year, subject to the deductible</t>
  </si>
  <si>
    <t>One routine exam covered in full per year, subject to the deductible</t>
  </si>
  <si>
    <t>Adult Diagnostic Vision</t>
  </si>
  <si>
    <t>Adult Eyewear</t>
  </si>
  <si>
    <t>Eyewear Reimbursement of</t>
  </si>
  <si>
    <t>$100 per year</t>
  </si>
  <si>
    <t>Pediatric Routine Vision Exam</t>
  </si>
  <si>
    <t>$60 copay per visit for one routine exam every year</t>
  </si>
  <si>
    <t>Covered at 80% for one routine exam every year, subject to the deductible</t>
  </si>
  <si>
    <t>Pediatric Eyewear</t>
  </si>
  <si>
    <t>Covered at 50%, subject to the deductible for one purchase per plan year</t>
  </si>
  <si>
    <t>Dental Benefits</t>
  </si>
  <si>
    <t>Adult Dental Care</t>
  </si>
  <si>
    <t>Pediatric Dental: Preventative &amp; Routine</t>
  </si>
  <si>
    <t>Preventive covered at 100%. Routine covered at 80%, subject to the deductible</t>
  </si>
  <si>
    <t>Preventive covered at 100%, subject to balance billing.</t>
  </si>
  <si>
    <t>Routine covered at 80%, subject to the deductible and balance billing</t>
  </si>
  <si>
    <t>Preventive cleaning and exams not subject to the deductible.  Preventive services covered at 100%, subject to the deductible. Routine services covered at 80%, subject to the deductible</t>
  </si>
  <si>
    <t>Preventive cleaning and exams not subject to the deductible.  Preventive services covered at 100%, subject to the deductible. Routine services covered at 80%, subject to the deductible and balance billing</t>
  </si>
  <si>
    <t>Pediatric Major Dental Care &amp; Medical Ortho</t>
  </si>
  <si>
    <t>Covered at 50%, subject to the deductible and balance billing</t>
  </si>
  <si>
    <t>Accidental Dental - Outpatient Surgical</t>
  </si>
  <si>
    <t>Healthy New York EPO</t>
  </si>
  <si>
    <t>78124NY1110009-00</t>
  </si>
  <si>
    <t>78124NY1110009-00 (SYI7)</t>
  </si>
  <si>
    <t>A deductible is applied to all covered medical benefits, prescription drugs are not subject to the deductible. Preventive services are covered in full. Plan includes ExerciseRewards.</t>
  </si>
  <si>
    <t>A deductible is applied to all covered medical benefits, prescription drugs are not subject to the deductible. Preventive services are covered in full. Plan includes Active&amp;Fit ExerciseRewards.</t>
  </si>
  <si>
    <t>01/01/2021 - 03/31/2021</t>
  </si>
  <si>
    <t>Coverage provided worldwide through our BlueCardÂ® Network</t>
  </si>
  <si>
    <t>ExerciseRewardsÃ‚Â® receive up to $600 in rewards a year by visiting a qualified fitness facility and save on Gym memberships with Active&amp;Fit DirectÃ¢â€žÂ¢.</t>
  </si>
  <si>
    <t>In-Network: $600 Individual / $1,200 Family</t>
  </si>
  <si>
    <t>In-Network: $4,000 Individual / $8,000 Family</t>
  </si>
  <si>
    <t>$4,000 Individual / $8,000 Family</t>
  </si>
  <si>
    <t>Covered in full</t>
  </si>
  <si>
    <t>Covered in full, subject to the deductible</t>
  </si>
  <si>
    <t>Covered at 100%, subject to the deductible</t>
  </si>
  <si>
    <t>Hospital care for mom</t>
  </si>
  <si>
    <t>Subject to $1,000 copay per admission,</t>
  </si>
  <si>
    <t>(including delivery)</t>
  </si>
  <si>
    <t>subject to the deductible</t>
  </si>
  <si>
    <t>$10/$35/$70</t>
  </si>
  <si>
    <t>Subject to $1,000 copay per admission for unlimited days, subject to the deductible</t>
  </si>
  <si>
    <t>Subject to $1,000 copay per admission for up to 60 days per contract year, subject to the deductible</t>
  </si>
  <si>
    <t>$100 copay per visit, subject to deductible</t>
  </si>
  <si>
    <t>$60 copay per visit, subject to deductible</t>
  </si>
  <si>
    <t>$100 copay per visit; subject to deductible</t>
  </si>
  <si>
    <t>Subject to $1,000 copay per admission for up to 200 days per year, subject to the deductible</t>
  </si>
  <si>
    <t>Subject to $1,000 copay per admission for up to 210 days per year, subject to the deductible</t>
  </si>
  <si>
    <t>$30 per visit, subject to deductible for physical, speech and occupational therapy for up to 60 visits per contract year</t>
  </si>
  <si>
    <t>$40 Specialist copay per visit, subject to deductible</t>
  </si>
  <si>
    <t>Covered at 80% , subject to the deductible for a single purchase once every 3 years</t>
  </si>
  <si>
    <t>$25 copay per visit for one routine exam every year, subject to the deductible</t>
  </si>
  <si>
    <t>Covered at 80%, subject to the deductible for one purchase per plan year</t>
  </si>
  <si>
    <t>$25 per visit, subject to deductible</t>
  </si>
  <si>
    <t>$100 copay per visit for accidental injury to sound, natural teeth and for care due to congenital disease or anomaly, subject to the deductible</t>
  </si>
  <si>
    <t>SimplyBlue Plus Gold 1</t>
  </si>
  <si>
    <t>SimplyBlue Plus Gold 5</t>
  </si>
  <si>
    <t>SimplyBlue Plus Gold 6</t>
  </si>
  <si>
    <t>78124NY0980057-01 (GLL3)</t>
  </si>
  <si>
    <t>78124NY0980137-01 (GLO5)</t>
  </si>
  <si>
    <t>78124NY1000025-01 (GLR7)</t>
  </si>
  <si>
    <t>Predictable out-of-pocket costs without a deductible, includes Active&amp;Fit ExerciseRewards.</t>
  </si>
  <si>
    <t>Copay</t>
  </si>
  <si>
    <t>$25 copay per visit</t>
  </si>
  <si>
    <t>$50 copay per visit</t>
  </si>
  <si>
    <t>$70 copay per visit</t>
  </si>
  <si>
    <t>In-Network: $1,600 Individual /</t>
  </si>
  <si>
    <t>$3,200 Family</t>
  </si>
  <si>
    <t>$7,900 Individual / $15,800 Family</t>
  </si>
  <si>
    <t>$8,000 Individual / $16,000 Family</t>
  </si>
  <si>
    <t>$3,200 Individual / $6,400 Family</t>
  </si>
  <si>
    <t>$25 PCP copay; $50 Specialist copay per visit</t>
  </si>
  <si>
    <t>$40 PCP copay; $70 Specialist copay per visit</t>
  </si>
  <si>
    <t>Diagnostic laboratory and</t>
  </si>
  <si>
    <t>pathology</t>
  </si>
  <si>
    <t>Covered at 80%, subject to the deductible per admission</t>
  </si>
  <si>
    <t>Subject to $1,000 copay per admission</t>
  </si>
  <si>
    <t>Covered at 80%, per admission, subject to the deductible</t>
  </si>
  <si>
    <t>Covered at 80%,  per admission, subject to the deductible</t>
  </si>
  <si>
    <t>$15/40%/50%</t>
  </si>
  <si>
    <t>$15/$75/50%</t>
  </si>
  <si>
    <t>$5/$35/$70, subject to the plan deductible. Preventive drugs are not subject to the deductible; they are subject to the applicable copay or coinsurance.</t>
  </si>
  <si>
    <t>$25 copay per 30 day supply</t>
  </si>
  <si>
    <t>Subject to $1,000 copay per admission for unlimited days</t>
  </si>
  <si>
    <t>Covered at 80%, per admission for unlimited days, subject to the deductible</t>
  </si>
  <si>
    <t>Subject to $1,000 copay per admission for up to 60 days per contract year</t>
  </si>
  <si>
    <t>Covered at 80%, per admission for up to 60 days per contract year, subject to the deductible</t>
  </si>
  <si>
    <t>$450 copay per visit</t>
  </si>
  <si>
    <t>$500 copay per visit</t>
  </si>
  <si>
    <t>$450 copay</t>
  </si>
  <si>
    <t>$500 copay</t>
  </si>
  <si>
    <t>3 visits covered in full.  Next visits covered at $25 copay per visit</t>
  </si>
  <si>
    <t>Subject to $1,000 copay per admission for up to 200 days per year</t>
  </si>
  <si>
    <t>Covered at 80%, per admission for up to 200 days per year, subject to the deductible</t>
  </si>
  <si>
    <t>$25 copay per visit for 40 visits per year</t>
  </si>
  <si>
    <t>Covered at 80%, for up to 40 visits per year, subject to the deductible</t>
  </si>
  <si>
    <t>$40 copay per visit for 40 visits per year</t>
  </si>
  <si>
    <t>Subject to $1,000 copay per admission for up to 210 days per year</t>
  </si>
  <si>
    <t>Covered at 80%, for up to 210 days per year, subject to the deductible</t>
  </si>
  <si>
    <t>$50 per visit for physical, speech and occupational therapy for up to 60 visits per contract year</t>
  </si>
  <si>
    <t>Covered at 80%, subject to the deductible for physical, speech and occupational therapy for up to 60 visits per</t>
  </si>
  <si>
    <t>$70 per visit for physical, speech and occupational therapy for up to 60 visits per contract year</t>
  </si>
  <si>
    <t>Covered at 60%, subject to the deductible for physical, speech and occupational therapy for up to 60 visits per</t>
  </si>
  <si>
    <t>contract year</t>
  </si>
  <si>
    <t>Covered at 50%</t>
  </si>
  <si>
    <t>Covered at 50% for a single purchase once every 3 years</t>
  </si>
  <si>
    <t>$50 copay per visit for one routine exam every year</t>
  </si>
  <si>
    <t>$70 copay per visit for one routine exam every year</t>
  </si>
  <si>
    <t>Covered at 50% for one purchase per plan year</t>
  </si>
  <si>
    <t>Preventive covered at 100%. Routine covered at  80%</t>
  </si>
  <si>
    <t>Preventive covered at 100%, subject to balance billng.</t>
  </si>
  <si>
    <t>Routine covered at 80%,subject to the deductible and balance billing</t>
  </si>
  <si>
    <t>$450 copay per visit for accidental injury to sound, natural teeth and for care due to congenital disease or anomaly</t>
  </si>
  <si>
    <t>Covered at 80% for accidental injury to sound, natural teeth and for care due to congenital disease or anomaly, subject to the deductible</t>
  </si>
  <si>
    <t>$500 copay per visit for accidental injury to sound, natural teeth and for care due to congenital disease or anomaly</t>
  </si>
  <si>
    <t>Covered at 60% for accidental injury to sound, natural teeth and for care due to congenital disease or anomaly, subject to the deductible</t>
  </si>
  <si>
    <t>SimplyBlue Plus Gold 14</t>
  </si>
  <si>
    <t>SimplyBlue Plus Gold 17</t>
  </si>
  <si>
    <t>SimplyBlue Plus Gold 18</t>
  </si>
  <si>
    <t>78124NY0990089-01 (GMB3)</t>
  </si>
  <si>
    <t>78124NY0990249-01 (GMM5)</t>
  </si>
  <si>
    <t>78124NY0990265-01 (GMO1)</t>
  </si>
  <si>
    <t>$30 copay per visit</t>
  </si>
  <si>
    <t>In-Network: $1,000 Individual /</t>
  </si>
  <si>
    <t>$2,000 Family</t>
  </si>
  <si>
    <t>In-Network: $1,100 Individual /</t>
  </si>
  <si>
    <t>$2,200 Family</t>
  </si>
  <si>
    <t>$5,500 Individual / $11,000 Family</t>
  </si>
  <si>
    <t>$8,150 Individual / $16,300 Family</t>
  </si>
  <si>
    <t>$8,250 Individual / $16,500 Family</t>
  </si>
  <si>
    <t>$30 PCP copay; $50 Specialist copay per visit</t>
  </si>
  <si>
    <t>Covered at 60%  per admission, subject to the deductible</t>
  </si>
  <si>
    <t>$5/$35/$70</t>
  </si>
  <si>
    <t>$10/$45/$90</t>
  </si>
  <si>
    <t>$30 copay per 30 day supply</t>
  </si>
  <si>
    <t>Covered at 60%, per admission for unlimited days, subject to the deductible</t>
  </si>
  <si>
    <t>$250 copay per visit, subject to deductible</t>
  </si>
  <si>
    <t>$250 copay per visit</t>
  </si>
  <si>
    <t>3 visits covered in full.  Next visits covered at $25 copay per visit, subject to the deductible</t>
  </si>
  <si>
    <t>3 visits covered in full.  Next visits covered at $30 copay per visit</t>
  </si>
  <si>
    <t>$40 per visit, subject to deductible for physical,</t>
  </si>
  <si>
    <t>Covered at 60%, subject to the deductible for physical,</t>
  </si>
  <si>
    <t>$50 for physical, speech and occupational therapy for up to</t>
  </si>
  <si>
    <t>$60 for physical, speech and occupational therapy for up to</t>
  </si>
  <si>
    <t>speech and occupational therapy for up to 60 visits per contract year</t>
  </si>
  <si>
    <t>60 visits per contract year</t>
  </si>
  <si>
    <t>$40 copay per visit for one routine exam every year, subject to deductible</t>
  </si>
  <si>
    <t>Routine covered at 80%,</t>
  </si>
  <si>
    <t>subject to the deductible and balance billing</t>
  </si>
  <si>
    <t>SimplyBlue Plus Standard Platinum</t>
  </si>
  <si>
    <t>SimplyBlue Plus Standard Silver</t>
  </si>
  <si>
    <t>SimplyBlue Plus Standard Gold</t>
  </si>
  <si>
    <t>SimplyBlue Plus Standard Bronze HSA</t>
  </si>
  <si>
    <t>78124NY0980009-01 (GLI1)</t>
  </si>
  <si>
    <t>78124NY0990009-01 (GLY1)</t>
  </si>
  <si>
    <t>78124NY0990041-01 (GLZ7)</t>
  </si>
  <si>
    <t>78124NY1000009-01 (GLQ1)</t>
  </si>
  <si>
    <t>Active&amp;Fit ExerciseRewards receive up to</t>
  </si>
  <si>
    <t>$600 in rewards a year by visiting a qualified fitness facility or by tracking your steps using a</t>
  </si>
  <si>
    <t>wearable device.  Save on Gym memberships with Active&amp;Fit Direct.</t>
  </si>
  <si>
    <t>$15 copay per visit</t>
  </si>
  <si>
    <t>$30 copay per visit, subject to deductible</t>
  </si>
  <si>
    <t>$35 copay per visit</t>
  </si>
  <si>
    <t>$50 copay per visit, subject to deductible</t>
  </si>
  <si>
    <t>Out-of-Network:</t>
  </si>
  <si>
    <t>$5,000 Individual /</t>
  </si>
  <si>
    <t>$10,000 Family</t>
  </si>
  <si>
    <t>In-Network: $1,300 Individual / $2,600 Family</t>
  </si>
  <si>
    <t>In-Network: $6,100 Individual / $12,200 Family</t>
  </si>
  <si>
    <t>$10,000 Individual /</t>
  </si>
  <si>
    <t>$20,000 Family</t>
  </si>
  <si>
    <t>$2,000 Individual /</t>
  </si>
  <si>
    <t>$8,500 Individual /</t>
  </si>
  <si>
    <t>$17,000 Family</t>
  </si>
  <si>
    <t>$4,000 Individual /</t>
  </si>
  <si>
    <t>$8,000 Family</t>
  </si>
  <si>
    <t>$6,900 Individual /</t>
  </si>
  <si>
    <t>$13,800 Family</t>
  </si>
  <si>
    <t>Covered at 80%,</t>
  </si>
  <si>
    <t>Covered at 60%,</t>
  </si>
  <si>
    <t>Covered at 100%,</t>
  </si>
  <si>
    <t>$15 PCP copay; $35 Specialist copay per visit</t>
  </si>
  <si>
    <t>$30 PCP copay; $50 Specialist copay per visit, subject to deductible</t>
  </si>
  <si>
    <t>$30 PCP copay; $75 copay per visit, subject to deductible</t>
  </si>
  <si>
    <t>$25 PCP copay; $40 copay per visit, subject to deductible</t>
  </si>
  <si>
    <t>$75 copay per visit, subject to the deductible</t>
  </si>
  <si>
    <t>$15 copay</t>
  </si>
  <si>
    <t>$30 PCP copay per visit, subject to deductible</t>
  </si>
  <si>
    <t>Subject to $500 copay per admission</t>
  </si>
  <si>
    <t>Subject to $1,500 copay per admission, subject to the deductible</t>
  </si>
  <si>
    <t>Subject to $1,000 copay per admission, subject to the deductible</t>
  </si>
  <si>
    <t>Covered at 100% per admission, subject to the deductible</t>
  </si>
  <si>
    <t>$10/$30/$60</t>
  </si>
  <si>
    <t>$10/$35/$70, subject to the plan deductible</t>
  </si>
  <si>
    <t>$15 copay per 30 day supply</t>
  </si>
  <si>
    <t>$30 copay, subject to deductible per 30 day supply</t>
  </si>
  <si>
    <t>Subject to $500 copay per admission for unlimited days</t>
  </si>
  <si>
    <t>Subject to $1,500 copay per admission for unlimited days, subject to the deductible</t>
  </si>
  <si>
    <t>Covered at 50%  per admission for unlimited days, subject to the deductible</t>
  </si>
  <si>
    <t>Covered at 100% per admission for unlimited days, subject to the deductible</t>
  </si>
  <si>
    <t>Subject to $500 copay per admission for up to 60 days per contract year</t>
  </si>
  <si>
    <t>Subject to $1,500 copay per admission for up to 60 days per contract year, subject to the deductible</t>
  </si>
  <si>
    <t>Covered at 50% per 60 day stay per contract year, subject to the deductible</t>
  </si>
  <si>
    <t>Covered at 100% per admission for up to 60 days per contract year, subject to the deductible</t>
  </si>
  <si>
    <t>$300 copay per visit, subject to deductible</t>
  </si>
  <si>
    <t>$55 copay per visit</t>
  </si>
  <si>
    <t>$70 copay per visit, subject to deductible</t>
  </si>
  <si>
    <t>$50 copay per visit, subject to the deductible</t>
  </si>
  <si>
    <t>$30 copay per visit, subject to the deductible</t>
  </si>
  <si>
    <t>Subject to $500 copay per admission for up to 200 days per year</t>
  </si>
  <si>
    <t>Subject to $1,500 copay per admission for up to 200 days per year, subject to the deductible</t>
  </si>
  <si>
    <t>Covered at 50% per admission for 200 days per year, subject to the deductible</t>
  </si>
  <si>
    <t>Covered at 100% per admission for up to 200 days per year, subject to the deductible</t>
  </si>
  <si>
    <t>$15 copay per visit for 40 visits per year</t>
  </si>
  <si>
    <t>$30 copay per visit for 40 visits per year, subject to the deductible</t>
  </si>
  <si>
    <t>Covered at 50% for up to 40 visits per year, subject to the deductible</t>
  </si>
  <si>
    <t>Covered at 100%. for up to 40 visits per year, subject to the deductible</t>
  </si>
  <si>
    <t>Subject to $500 copay per admission for up to 210 days per year</t>
  </si>
  <si>
    <t>Subject to $1,500 copay per admission for up to 210 days per year, subject to the deductible</t>
  </si>
  <si>
    <t>Covered at 50% for up to 210 visits per year, subject to the deductible</t>
  </si>
  <si>
    <t>Covered at 100%  for up to 210 visits per year, subject to the deductible</t>
  </si>
  <si>
    <t>$25 per visit for physical, speech and occupational therapy for up to 60 visits per contract year</t>
  </si>
  <si>
    <t>Covered at 50%, subject to the deductible for physical, speech and occupational therapy for up to 60 visits per contract year</t>
  </si>
  <si>
    <t>Covered at 100%, subject to the deductible for physical, speech and occupational therapy for up to 60 visits per contract year</t>
  </si>
  <si>
    <t>Covered at 90%</t>
  </si>
  <si>
    <t>Covered at 70%, subject to the deductible</t>
  </si>
  <si>
    <t>$35 copay</t>
  </si>
  <si>
    <t>$50 Specialist copay per visit, subject to deductible</t>
  </si>
  <si>
    <t>Covered at 90% for a single purchase once every 3 years</t>
  </si>
  <si>
    <t>Covered at 80%, subject to the deductible for a single purchase once every 3 years</t>
  </si>
  <si>
    <t>Covered at 70% , subject to the deductible for a single purchase once every 3 years</t>
  </si>
  <si>
    <t>Covered at 60%, subject to the deductible for a single purchase once every 3 years</t>
  </si>
  <si>
    <t>Covered at 100%, subject to the deductible for a single purchase once every 3 years</t>
  </si>
  <si>
    <t>$15 copay per visit for one routine exam every year</t>
  </si>
  <si>
    <t>$30 copay per visit for one routine exam every year, subject to the deductible</t>
  </si>
  <si>
    <t>Covered at 50% for one routine exam every year, subject to the deductible</t>
  </si>
  <si>
    <t>Covered at 100% for one routine exam every year, subject to the deductible</t>
  </si>
  <si>
    <t>Covered at 90%, for one purchase per plan year</t>
  </si>
  <si>
    <t>Covered at 70%, subject to the deductible for one purchase per plan year</t>
  </si>
  <si>
    <t>Covered at 60%, subject to the deductible for one purchase per plan year</t>
  </si>
  <si>
    <t>Covered at 100%, subject to the deductible for one purchase per plan year</t>
  </si>
  <si>
    <t>$15 per visit</t>
  </si>
  <si>
    <t>$15 per visit, subject to the deductible and balance billing</t>
  </si>
  <si>
    <t>$30 per visit, subject to the deductible</t>
  </si>
  <si>
    <t>$30 per visit, subject to the deductible and balance billing</t>
  </si>
  <si>
    <t>$25 per visit, subject to the deductible</t>
  </si>
  <si>
    <t>$25 per visit, subject to the deductible and balance billing</t>
  </si>
  <si>
    <t>Covered at 100%, subject to the deductible  and balance billing</t>
  </si>
  <si>
    <t>Covered at 100%, subject to the deductible and balance billing</t>
  </si>
  <si>
    <t>$100 copay per visit for accidental injury to sound, natural teeth and for care due to congenital disease or anomaly</t>
  </si>
  <si>
    <t>$150 copay per visit for accidental injury to sound, natural teeth and for care due to congenital disease or anomaly, subject to the deductible</t>
  </si>
  <si>
    <t>Covered at 50% for accidental injury to sound, natural teeth and for care due to congenital disease or anomaly, subject to the deductible</t>
  </si>
  <si>
    <t>Covered at 100% for accidental injury to sound, natural teeth and for care due to congenital disease or anomaly, subject to the deductible</t>
  </si>
  <si>
    <t>SimplyBlue Plus Bronze 3</t>
  </si>
  <si>
    <t>SimplyBlue Plus Bronze 4</t>
  </si>
  <si>
    <t>SimplyBlue Plus Bronze 5</t>
  </si>
  <si>
    <t>78124NY1000009-00 (SXU3)</t>
  </si>
  <si>
    <t>78124NY1000153-00 (SXZ1)</t>
  </si>
  <si>
    <t>78124NY1000169-00 (SYA7)</t>
  </si>
  <si>
    <t>78124NY1000201-00 (SYN5)</t>
  </si>
  <si>
    <t>$600 in rewards a year by visiting a qualified fitness facility or by tracking your steps using a wearable device.  Save on Gym memberships</t>
  </si>
  <si>
    <t>with Active&amp;Fit Direct.</t>
  </si>
  <si>
    <t>In-Network: $5,500 Individual / $11,000 Family</t>
  </si>
  <si>
    <t>In-Network: $7,000 Individual / $14,000 Family</t>
  </si>
  <si>
    <t>In-Network: $6,000 Individual / $12,000 Family</t>
  </si>
  <si>
    <t>$7,000 Individual /</t>
  </si>
  <si>
    <t>$14,000 Family</t>
  </si>
  <si>
    <t>Covered at 100%, subject to the</t>
  </si>
  <si>
    <t>$40 PCP copay; $60 Specialist copay per visit, subject to deductible.</t>
  </si>
  <si>
    <t>$40 PCP copay; $60 Specialist copay per visit, subject to deductible</t>
  </si>
  <si>
    <t>$60 PCP copay per visit, subject to deductible</t>
  </si>
  <si>
    <t>$10/$35/$70, subject</t>
  </si>
  <si>
    <t>$10/40%/50%, subject</t>
  </si>
  <si>
    <t>$10/$45/$90, subject</t>
  </si>
  <si>
    <t>Coverage</t>
  </si>
  <si>
    <t>to the plan deductible</t>
  </si>
  <si>
    <t>to the plan deductible. Preventive drugs are not subject to the deductible; they are subject to the applicable copay or coinsurance.</t>
  </si>
  <si>
    <t>subject to the plan deductible. Preventive drugs are not subject to the deductible; they are subject to the applicable copay or coinsurance.</t>
  </si>
  <si>
    <t>$40 copay, subject to deductible per 30 day supply</t>
  </si>
  <si>
    <t>Covered at 100%  per admission for unlimited days, subject to the deductible</t>
  </si>
  <si>
    <t>Covered at 50% per 60 day stay per admission per contract year, subject to the deductible</t>
  </si>
  <si>
    <t>Covered at 100% per 60 day stay per admission per contract year, subject to the deductible</t>
  </si>
  <si>
    <t>Subject to $1,000 copay per admission for up to 60 days per per contract year, subject to the deductible</t>
  </si>
  <si>
    <t>$500 copay per visit, subject to deductible</t>
  </si>
  <si>
    <t>$60 copay per visit, subject to the deductible</t>
  </si>
  <si>
    <t>Covered at 50%,</t>
  </si>
  <si>
    <t>$100 copay per visit,</t>
  </si>
  <si>
    <t>$500 copay per visit; subject to deductible</t>
  </si>
  <si>
    <t>Covered at 50% per admission for unlimited days, subject to the deductible</t>
  </si>
  <si>
    <t>Covered at 100% per admission for 200 days per year, subject to the deductible</t>
  </si>
  <si>
    <t>Covered at 100% for up to 40 visits per year, subject to the deductible</t>
  </si>
  <si>
    <t>$40 copay per visit for 40 visits per year, subject to the deductible</t>
  </si>
  <si>
    <t>Covered at 100% for up to 210 visits per year, subject to the deductible</t>
  </si>
  <si>
    <t>$60 per visit, subject</t>
  </si>
  <si>
    <t>subject to the deductible for physical, speech and occupational therapy for up to 60 visits per contract year</t>
  </si>
  <si>
    <t>to deductible for physical, speech and occupational therapy for up to 60 visits per contract year</t>
  </si>
  <si>
    <t>Covered at 100% , subject to the deductible for a single purchase once every 3 years</t>
  </si>
  <si>
    <t>$60 copay per visit for one routine exam every year, subject to the deductible</t>
  </si>
  <si>
    <t>Covered at 100%, subject to the deductible  and</t>
  </si>
  <si>
    <t>Preventive cleaning and exams not subject to the deductible.</t>
  </si>
  <si>
    <t>balance billing</t>
  </si>
  <si>
    <t>Preventive services covered at 100%, subject to the deductible. Routine services covered at 80%, subject to the deductible</t>
  </si>
  <si>
    <t>Preventive services covered at 100%, subject to the deductible. Routine services covered at 80%, subject to the deductible and balance billing</t>
  </si>
  <si>
    <t>Preventive services covered at 100%, subject to the deductible. Routine services covered at 100%, subject to the deductible</t>
  </si>
  <si>
    <t>Preventive services covered at 100%, subject to the deductible. Routine services covered at 100%, subject to the deductible and balance billing</t>
  </si>
  <si>
    <t>$500 copay per visit for accidental injury to sound, natural teeth and for care due to congenital disease or anomaly, subject to the deductible</t>
  </si>
  <si>
    <t>SimplyBlue Plus Platinum 6</t>
  </si>
  <si>
    <t>78124NY0980009-00 (SXM3)</t>
  </si>
  <si>
    <t>78124NY0980185-00 (SYV5)</t>
  </si>
  <si>
    <t>$2,000 Individual / $4,000 Family</t>
  </si>
  <si>
    <t>$6,550 Individual / $13,100 Family</t>
  </si>
  <si>
    <t>Subject to $750 copay per admission</t>
  </si>
  <si>
    <t>Covered at 80%,  per admission, subject to the</t>
  </si>
  <si>
    <t>Subject to $750 copay per admission for unlimited days</t>
  </si>
  <si>
    <t>Subject to $750 copay per admission for up to 60 days per contract year</t>
  </si>
  <si>
    <t>$250 copay</t>
  </si>
  <si>
    <t>3 visits covered in full.  Next visits covered at</t>
  </si>
  <si>
    <t>Subject to $750 copay per admission for up to 200 days per year</t>
  </si>
  <si>
    <t>$30 copay per visit for 40 visits per year</t>
  </si>
  <si>
    <t>Subject to $750 copay per admission for up to 210 days per year</t>
  </si>
  <si>
    <t>Eyewear Reimbursement of $100 per year</t>
  </si>
  <si>
    <t>Preventive covered at 100%, subject to balance billng. Routine covered at 80%,subject to the deductible  and balance billing</t>
  </si>
  <si>
    <t>$250 copay per visit for accidental injury to sound, natural teeth and for care due to congenital disease or anomaly</t>
  </si>
  <si>
    <t>SimplyBlue Plus Silver 6</t>
  </si>
  <si>
    <t>SimplyBlue Plus Silver 2</t>
  </si>
  <si>
    <t>SimplyBlue Plus Silver 19</t>
  </si>
  <si>
    <t>78124NY0990105-01 (GMC9)</t>
  </si>
  <si>
    <t>78124NY1000057-01 (GLT3)</t>
  </si>
  <si>
    <t>78124NY1000297-01 (GMZ3)</t>
  </si>
  <si>
    <t>Covered at 75%</t>
  </si>
  <si>
    <t>In-Network: $2,500 Individual /</t>
  </si>
  <si>
    <t>$5,000 Family</t>
  </si>
  <si>
    <t>In-Network: $2,600 Individual /</t>
  </si>
  <si>
    <t>$5,200 Family</t>
  </si>
  <si>
    <t>$7,000 Individual / $14,000 Family</t>
  </si>
  <si>
    <t>$6,750 Individual / $13,500 Family</t>
  </si>
  <si>
    <t>$25 PCP copay; $50 Specialist copay per visit, subject to deductible.</t>
  </si>
  <si>
    <t>Covered at 50%, subject to</t>
  </si>
  <si>
    <t>$25 PCP copay; $50 Specialist copay per visit, subject to deductible</t>
  </si>
  <si>
    <t>$50 PCP copay per visit, subject to deductible</t>
  </si>
  <si>
    <t>Covered at 75%, subject to the deductible</t>
  </si>
  <si>
    <t>Covered at 50%  per admission, subject to the deductible</t>
  </si>
  <si>
    <t>Covered at 50% per admission, subject to the deductible</t>
  </si>
  <si>
    <t>Covered at 75%  per admission for unlimited days, subject to the deductible</t>
  </si>
  <si>
    <t>Covered at 50%, per admission for unlimited days, subject to the deductible</t>
  </si>
  <si>
    <t>Covered at 75% per 60 day stay per admission per contract year, subject to the deductible</t>
  </si>
  <si>
    <t>Covered at 50% per admission for up to 60 days per contract year, subject to the deductible</t>
  </si>
  <si>
    <t>$350 copay per visit, subject to deductible</t>
  </si>
  <si>
    <t>$300 copay per visit; subject to deductible</t>
  </si>
  <si>
    <t>Covered at 75% per admission for unlimited days, subject to the deductible</t>
  </si>
  <si>
    <t>3 visits covered in full.  Next visits covered at $40 copay per visit, subject to the deductible</t>
  </si>
  <si>
    <t>Covered at 75% per admission for 200 days per year, subject to the deductible</t>
  </si>
  <si>
    <t>Covered at 50% per admission for up to 200 days per year, subject to the deductible</t>
  </si>
  <si>
    <t>Covered at 75% for up to 210</t>
  </si>
  <si>
    <t>Covered at 50% for up to 210</t>
  </si>
  <si>
    <t>Covered at 80% for up to 210</t>
  </si>
  <si>
    <t>Covered at 60% for up to 210</t>
  </si>
  <si>
    <t>Subject to $500 copay per</t>
  </si>
  <si>
    <t>Covered at 60%  for up to 210</t>
  </si>
  <si>
    <t>visits per year, subject to the deductible</t>
  </si>
  <si>
    <t>admission for up to 210 days per year, subject to the deductible</t>
  </si>
  <si>
    <t>$60 per visit, subject to deductible for physical, speech and occupational therapy for up to 60 visits per contract year</t>
  </si>
  <si>
    <t>$50 per visit, subject to deductible for physical, speech and occupational therapy for up to 60 visits per contract year</t>
  </si>
  <si>
    <t>$60 copay per visit for one routine exam every year, subject to deductible</t>
  </si>
  <si>
    <t>$50 copay per visit for one routine exam every year, subject to the deductible</t>
  </si>
  <si>
    <t>Accidental Dental -</t>
  </si>
  <si>
    <t>Covered at 75% for accidental</t>
  </si>
  <si>
    <t>Covered at 50% for accidental</t>
  </si>
  <si>
    <t>Covered at 80% for accidental</t>
  </si>
  <si>
    <t>Covered at 60% for accidental</t>
  </si>
  <si>
    <t>$300 copay per visit for</t>
  </si>
  <si>
    <t>Outpatient Surgical</t>
  </si>
  <si>
    <t>injury to sound, natural teeth and for care due to congenital disease or anomaly, subject to the deductible</t>
  </si>
  <si>
    <t>accidental injury to sound, natural teeth and for care due to congenital disease or anomaly, subject to the deductible</t>
  </si>
  <si>
    <t>SimplyBlue Plus Silver 18</t>
  </si>
  <si>
    <t>SimplyBlue Plus Silver 14</t>
  </si>
  <si>
    <t>SimplyBlue Plus Silver 16</t>
  </si>
  <si>
    <t>SimplyBlue Plus Silver 17</t>
  </si>
  <si>
    <t>78124NY0990313-01 (GMX7)</t>
  </si>
  <si>
    <t>78124NY1000185-01 (GMG1)</t>
  </si>
  <si>
    <t>78124NY1000249-01 (GMU5)</t>
  </si>
  <si>
    <t>78124NY1000265-01 (GMW1)</t>
  </si>
  <si>
    <t>$75 copay per visit</t>
  </si>
  <si>
    <t>Covered at 70%</t>
  </si>
  <si>
    <t>In-Network: $7,500 Individual / $15,000 Family</t>
  </si>
  <si>
    <t>In-Network: $2,800 Individual / $5,600 Family</t>
  </si>
  <si>
    <t>In-Network: $3,200 Individual / $6,400 Family</t>
  </si>
  <si>
    <t>In-Network: $3,600 Individual / $7,200 Family</t>
  </si>
  <si>
    <t>$8,250 Individual /</t>
  </si>
  <si>
    <t>$16,500 Family</t>
  </si>
  <si>
    <t>$6,550 Individual /</t>
  </si>
  <si>
    <t>$13,100 Family</t>
  </si>
  <si>
    <t>$50 PCP copay; $75 Specialist copay per visit</t>
  </si>
  <si>
    <t>$10/40%/50%</t>
  </si>
  <si>
    <t>$5/$45/$90, subject to the plan deductible.</t>
  </si>
  <si>
    <t>Preventive drugs are not subject to the</t>
  </si>
  <si>
    <t>$5/$35/$70, subject to the plan deductible.</t>
  </si>
  <si>
    <t>deductible; they are subject to the applicable copay or coinsurance.</t>
  </si>
  <si>
    <t>$50 copay per 30 day supply</t>
  </si>
  <si>
    <t>Covered at 70%  per admission for unlimited days, subject to the deductible</t>
  </si>
  <si>
    <t>Covered at 70% per 60 day stay per admission per contract year, subject to the deductible</t>
  </si>
  <si>
    <t>$650 copay per visit</t>
  </si>
  <si>
    <t>Covered at 80%, subject to the</t>
  </si>
  <si>
    <t>Covered at 60%, subject to the</t>
  </si>
  <si>
    <t>Covered at 70% per admission for unlimited days, subject to the deductible</t>
  </si>
  <si>
    <t>3 visits covered in full. Next visits covered at</t>
  </si>
  <si>
    <t>Covered at 70% per admission for 200 days per year, subject to the deductible</t>
  </si>
  <si>
    <t>Covered at 70% for up to 40 visits per year, subject to the deductible</t>
  </si>
  <si>
    <t>Covered at 70% for up to 210 visits per year, subject to the deductible</t>
  </si>
  <si>
    <t>$75 for physical, speech and occupational therapy for up to 60 visits per contract year</t>
  </si>
  <si>
    <t>$75 copay per visit for one routine exam every year</t>
  </si>
  <si>
    <t>Preventive covered at 100%. Routine</t>
  </si>
  <si>
    <t>covered at 80%, subject to the deductible</t>
  </si>
  <si>
    <t>Preventive services covered at 100%, subject to the deductible. Routine services covered at 80%, subject to the</t>
  </si>
  <si>
    <t>deductible and</t>
  </si>
  <si>
    <t>Covered at 70% for accidental injury to sound, natural teeth and for care due to congenital disease or anomaly, subject to the deductible</t>
  </si>
  <si>
    <t>SimplyBlue Plus Platinum 2</t>
  </si>
  <si>
    <t>SimplyBlue Plus Platinum 3</t>
  </si>
  <si>
    <t>SimplyBlue Plus Platinum 4</t>
  </si>
  <si>
    <t>78124NY0980025-00 (SXN9)</t>
  </si>
  <si>
    <t>78124NY0980073-00 (SXR1)</t>
  </si>
  <si>
    <t>78124NY0990233-00 (SYQ7)</t>
  </si>
  <si>
    <t>In-Network: $250 Individual /</t>
  </si>
  <si>
    <t>$500 Family</t>
  </si>
  <si>
    <t>$5,000 Individual / $10,000 Family</t>
  </si>
  <si>
    <t>$4,500 Individual / $9,000 Family</t>
  </si>
  <si>
    <t>$15 PCP copay; $25 Specialist copay per visit</t>
  </si>
  <si>
    <t>$25 PCP copay; $40 Specialist copay per visit</t>
  </si>
  <si>
    <t>$5/$25/$50</t>
  </si>
  <si>
    <t>$150 copay per visit</t>
  </si>
  <si>
    <t>$150 copay</t>
  </si>
  <si>
    <t>3 visits covered in full.  Next visits covered at $15 copay per visit</t>
  </si>
  <si>
    <t>$40 per visit for physical, speech and occupational therapy for up to 60 visits per contract year</t>
  </si>
  <si>
    <t>$25 for physical, speech and occupational therapy for up to 60 visits per contract year</t>
  </si>
  <si>
    <t>$25 copay per visit for one routine exam every year</t>
  </si>
  <si>
    <t>$40 copay per visit for one routine exam every year</t>
  </si>
  <si>
    <t>$150 copay per visit for accidental injury to sound, natural teeth and for care due to congenital disease or anomaly</t>
  </si>
  <si>
    <t>Current</t>
  </si>
  <si>
    <t>Renewal</t>
  </si>
  <si>
    <t>Option 1</t>
  </si>
  <si>
    <t>Option 2</t>
  </si>
  <si>
    <t>Option 3</t>
  </si>
  <si>
    <t>Excellus SB Plus Gold 1</t>
  </si>
  <si>
    <t>Excellus SB Plus Platinum 6</t>
  </si>
  <si>
    <t>Excellus SB Plus Standard Platinum </t>
  </si>
  <si>
    <t>MVP SG Platinum 1</t>
  </si>
  <si>
    <t>Deductible &amp; Out of Pocket Max</t>
  </si>
  <si>
    <t>Single Deductible</t>
  </si>
  <si>
    <t>Family Deductible</t>
  </si>
  <si>
    <t>Deductible Type</t>
  </si>
  <si>
    <t>Out of Pocket Max Single</t>
  </si>
  <si>
    <t>Out of Pocket Max Family</t>
  </si>
  <si>
    <t>Co-Insurance</t>
  </si>
  <si>
    <t>Out of Network Coverage</t>
  </si>
  <si>
    <t>Preventive Services</t>
  </si>
  <si>
    <t>Adult Physical</t>
  </si>
  <si>
    <t>Routine OBGYN</t>
  </si>
  <si>
    <t>Cancer Screenings</t>
  </si>
  <si>
    <t>Immunizations</t>
  </si>
  <si>
    <t>Well Child Visit</t>
  </si>
  <si>
    <t>Physician</t>
  </si>
  <si>
    <t>Office visit PCP</t>
  </si>
  <si>
    <t>Office Visit Specialist</t>
  </si>
  <si>
    <t>Urgent Care</t>
  </si>
  <si>
    <t>Lab/X-Ray</t>
  </si>
  <si>
    <t>Inpatient &amp; Outpatient Services</t>
  </si>
  <si>
    <t>Emergency Room</t>
  </si>
  <si>
    <t>Inpatient Hospitalization</t>
  </si>
  <si>
    <t>Maternity</t>
  </si>
  <si>
    <t>CT Scans/MRI/PET /Imaging tests</t>
  </si>
  <si>
    <t>Mental/Chemical Inpatient</t>
  </si>
  <si>
    <t>Mental/Chemical Out Patient</t>
  </si>
  <si>
    <t>Radiation</t>
  </si>
  <si>
    <t xml:space="preserve">Telemedicine </t>
  </si>
  <si>
    <t>Therapy (Physical/Occupational/Speech)</t>
  </si>
  <si>
    <t>Vision - Exams</t>
  </si>
  <si>
    <t>Vision - Hardware</t>
  </si>
  <si>
    <t>Pediatric Dental</t>
  </si>
  <si>
    <t>Durable Medical Equipment</t>
  </si>
  <si>
    <t>Rx</t>
  </si>
  <si>
    <t>Rx Deductible</t>
  </si>
  <si>
    <t>Generic</t>
  </si>
  <si>
    <t>Brand</t>
  </si>
  <si>
    <t>Non-Formulary</t>
  </si>
  <si>
    <t>Tier</t>
  </si>
  <si>
    <t>Enrollment</t>
  </si>
  <si>
    <t>Current Premium</t>
  </si>
  <si>
    <t>2021 First Quarter 
Monthly Premium</t>
  </si>
  <si>
    <t>Employee</t>
  </si>
  <si>
    <t>EE + Sp</t>
  </si>
  <si>
    <t>EE + Ch</t>
  </si>
  <si>
    <t>Monthly Cost</t>
  </si>
  <si>
    <t>Annual Cost</t>
  </si>
  <si>
    <t>Difference Per Month from Current  Plan</t>
  </si>
  <si>
    <t>Difference Per Year from Current  Plan</t>
  </si>
  <si>
    <t>Percentage Difference from Current  Plan</t>
  </si>
  <si>
    <t>NOTE: This description is only a summary.  Please refer to your group benefit contract and benefit booklet for the complete terms, conditions, and exclusions of the group benefit program.</t>
  </si>
  <si>
    <t>$2,000 Individual /$4,000 Family</t>
  </si>
  <si>
    <t>$8,500 Individual /$17,000 Family</t>
  </si>
  <si>
    <t>$4,000 Individual /$8,000 Family</t>
  </si>
  <si>
    <t>$6,900 Individual /$13,800 Family</t>
  </si>
  <si>
    <t>$7,000 Individual /$14,000 Family</t>
  </si>
  <si>
    <t>$60 per visit, ssubject to the deductible for physical, speech and occupational therapy for up to 60 visits per contract year</t>
  </si>
  <si>
    <t>In-Network: $2,500 Individual /$5,000 Family</t>
  </si>
  <si>
    <t>In-Network: $2,600 Individual /$5,200 Family</t>
  </si>
  <si>
    <t>$8,250 Individual /$16,500 Family</t>
  </si>
  <si>
    <t>$6,550 Individual /$13,100 Family</t>
  </si>
  <si>
    <t>3 visits covered in full. Next visits covered at $50 copay per visit</t>
  </si>
  <si>
    <t>Preventive cleaning and exams not subject to the deductible. Preventive services covered at 100%, subject to the deductible. Routine services covered at 80%, subject to the deductible</t>
  </si>
  <si>
    <t>In-Network: $250 Individual / $500 Family</t>
  </si>
  <si>
    <t xml:space="preserve"> $4,500 Family</t>
  </si>
  <si>
    <t xml:space="preserve">In-Network: $1,800 Individual / </t>
  </si>
  <si>
    <t xml:space="preserve"> $4,000 Family</t>
  </si>
  <si>
    <t xml:space="preserve">In-Network: $1,600 Individual / </t>
  </si>
  <si>
    <t xml:space="preserve"> $2,000 Family</t>
  </si>
  <si>
    <t xml:space="preserve">In-Network: $1,000 Individual / </t>
  </si>
  <si>
    <t xml:space="preserve">In-Network: $1,100 Individual / </t>
  </si>
  <si>
    <t xml:space="preserve">In-Network: $1,300 Individual / </t>
  </si>
  <si>
    <t>$2,600 Family</t>
  </si>
  <si>
    <t>In-Network: $600 Individual /</t>
  </si>
  <si>
    <t xml:space="preserve"> $1,200 Family</t>
  </si>
  <si>
    <t xml:space="preserve">In-Network: $6,100 Individual / </t>
  </si>
  <si>
    <t>$12,200 Family</t>
  </si>
  <si>
    <t>In-Network: $6,100 Individual /</t>
  </si>
  <si>
    <t xml:space="preserve"> $12,200 Family</t>
  </si>
  <si>
    <t xml:space="preserve">In-Network: $5,500 Individual / </t>
  </si>
  <si>
    <t>$11,000 Family</t>
  </si>
  <si>
    <t xml:space="preserve">In-Network: $7,000 Individual / </t>
  </si>
  <si>
    <t xml:space="preserve">In-Network: $6,000 Individual / </t>
  </si>
  <si>
    <t>$12,000 Family</t>
  </si>
  <si>
    <t>Prostate cancer screening</t>
  </si>
  <si>
    <t>Adult immunizations</t>
  </si>
  <si>
    <t>Telemedicine</t>
  </si>
  <si>
    <t>Current Plan</t>
  </si>
  <si>
    <t>N/a</t>
  </si>
  <si>
    <t>N/A</t>
  </si>
  <si>
    <t>$10/40%/50%, subject to the plan deductible</t>
  </si>
  <si>
    <t>Covered at 100%, subject to the plan deductible</t>
  </si>
  <si>
    <t>$10/$45/$90, subject to the plan deductible</t>
  </si>
  <si>
    <t>Rx Coverage</t>
  </si>
  <si>
    <t>Huh?</t>
  </si>
  <si>
    <t>Is this Yes / No?</t>
  </si>
  <si>
    <t>which category are you looking at for this? The label name please</t>
  </si>
  <si>
    <t>Single Rate</t>
  </si>
  <si>
    <t>Subscriber and Spouse Rate</t>
  </si>
  <si>
    <t>Subscriber and Children Rate</t>
  </si>
  <si>
    <t>Family Rate</t>
  </si>
  <si>
    <t>Out of Pocket Maximum</t>
  </si>
  <si>
    <t>Rochester</t>
  </si>
  <si>
    <t>Monroe</t>
  </si>
  <si>
    <t>HIOS ID</t>
  </si>
  <si>
    <t>Primary Care Office Visit (oon)</t>
  </si>
  <si>
    <t>Specialist Office Visit (oon)</t>
  </si>
  <si>
    <t>Deductible (oon)</t>
  </si>
  <si>
    <t>Coinsurance (oon)</t>
  </si>
  <si>
    <t>Out of Pocket Maximum (oon)</t>
  </si>
  <si>
    <t>Out of Network Benefits</t>
  </si>
  <si>
    <t>78124NY0980009-00</t>
  </si>
  <si>
    <t>78124NY0980025-00</t>
  </si>
  <si>
    <t>78124NY0980057-00</t>
  </si>
  <si>
    <t>Subject to $1,250 copay per admission for unlimited days</t>
  </si>
  <si>
    <t>$650 copay</t>
  </si>
  <si>
    <t>78124NY0980073-00</t>
  </si>
  <si>
    <t>78124NY0980137-00</t>
  </si>
  <si>
    <t>Subject to $1,500 copay per admission for unlimited days</t>
  </si>
  <si>
    <t>78124NY0980185-00</t>
  </si>
  <si>
    <t>78124NY0990009-00</t>
  </si>
  <si>
    <t>First visit $30 PCP copay, not subject to the deductible. Second and after $30 PCP copay, subject to the deductible</t>
  </si>
  <si>
    <t>First visit $65 Specialist copay, not subject to deductible.  Second and after $65 Specialist copay, subject to deductible</t>
  </si>
  <si>
    <t>$15/$40/$75</t>
  </si>
  <si>
    <t>78124NY0990041-00</t>
  </si>
  <si>
    <t>78124NY0990089-00</t>
  </si>
  <si>
    <t>78124NY0990105-00</t>
  </si>
  <si>
    <t>$450 copay per visit, subject to deductible</t>
  </si>
  <si>
    <t>78124NY0990233-00</t>
  </si>
  <si>
    <t>78124NY0990249-00</t>
  </si>
  <si>
    <t>In-Network: $1,100 Individual / $2,200 Family</t>
  </si>
  <si>
    <t>78124NY0990297-00</t>
  </si>
  <si>
    <t>In-Network: $2,250 Individual / $4,500 Family</t>
  </si>
  <si>
    <t>78124NY0990313-00</t>
  </si>
  <si>
    <t>Out-of-Network: $10,000 Individual / $20,000 Family</t>
  </si>
  <si>
    <t>78124NY1000025-00</t>
  </si>
  <si>
    <t>In-Network: $1,800 Individual / $3,600 Family</t>
  </si>
  <si>
    <t>78124NY1000057-00</t>
  </si>
  <si>
    <t>78124NY1000153-00</t>
  </si>
  <si>
    <t>78124NY1000169-00</t>
  </si>
  <si>
    <t>78124NY1000201-00</t>
  </si>
  <si>
    <t>78124NY1000249-00</t>
  </si>
  <si>
    <t>78124NY1000265-00</t>
  </si>
  <si>
    <t>78124NY1000297-00</t>
  </si>
  <si>
    <t>78124NY1000313-00</t>
  </si>
  <si>
    <t>In-Network: $2,000 Individual / $4,000 Family</t>
  </si>
  <si>
    <t>78124NY0980201-00</t>
  </si>
  <si>
    <t>Blue Simplicity Gold</t>
  </si>
  <si>
    <t>Level 2 - up to $50 copay per visit</t>
  </si>
  <si>
    <t>Level 3 - up to $100 copay per visit</t>
  </si>
  <si>
    <t>In-Network: $2,100 Individual / $4,200 Family</t>
  </si>
  <si>
    <t>In-Network: $3,250 Individual / $6,500 Family</t>
  </si>
  <si>
    <t>In-Network: $8,000 Individual / $16,000 Family</t>
  </si>
  <si>
    <t>In-Network: $3,300 Individual / $6,600 Family</t>
  </si>
  <si>
    <t>In-Network: $3,350 Individual / $6,700 Family</t>
  </si>
  <si>
    <t>Level 6 - up to $4,000 copay per admission for unlimited days</t>
  </si>
  <si>
    <t>$300 copay</t>
  </si>
  <si>
    <t>Level 4 - up to $250 copay per visit</t>
  </si>
  <si>
    <t>$300 copay per visit</t>
  </si>
  <si>
    <t>78124NY1000329-00</t>
  </si>
  <si>
    <t>SimplyBlue Plus Bronze 7</t>
  </si>
  <si>
    <t>In-Network: $1,200 Individual / $2,400 Family</t>
  </si>
  <si>
    <t>In-Network: $8,300 Individual / $16,600 Family</t>
  </si>
  <si>
    <t>In-Network: $9,200 Individual / $18,400 Family</t>
  </si>
  <si>
    <t>$10/$35/$70
&lt;br&gt;$0 generics for kids up to age 19</t>
  </si>
  <si>
    <t>$15/40%/50%
&lt;br&gt;$0 generics for kids up to age 19</t>
  </si>
  <si>
    <t>$5/$35/$70
&lt;br&gt;$0 generics for kids up to age 19</t>
  </si>
  <si>
    <t>$15/$100/50%
&lt;br&gt;$0 generics for kids up to age 19</t>
  </si>
  <si>
    <t>$10/$50/$100
&lt;br&gt;$0 generics for kids up to age 19</t>
  </si>
  <si>
    <t>$5/$45/$90
&lt;br&gt;$0 generics for kids up to age 19</t>
  </si>
  <si>
    <t>$5/$25/$50
&lt;br&gt;$0 generics for kids up to age 19</t>
  </si>
  <si>
    <t>$10/$45/$90
&lt;br&gt;$0 generics for kids up to age 19</t>
  </si>
  <si>
    <t>$10/40%/50%
&lt;br&gt;$0 generics for kids up to age 19</t>
  </si>
  <si>
    <t>$5/$45/$90, subject to the plan deductible. 
&lt;br&gt;$0 generics for kids up to age 19, subject to the plan deductible
&lt;br&gt; Preventive drugs are not subject to the deductible; they are subject to the copay or coinsurance, if applicable.</t>
  </si>
  <si>
    <t>$10/$45/$90, subject to the plan deductible. 
&lt;br&gt;$0 generics for kids up to age 19, subject to the plan deductible
&lt;br&gt; Preventive drugs are not subject to the deductible; they are subject to the copay or coinsurance, if applicable.</t>
  </si>
  <si>
    <t>$10/40%/50%, subject to the plan deductible. 
&lt;br&gt;$0 generics for kids up to age 19, subject to the plan deductible
&lt;br&gt; Preventive drugs are not subject to the deductible; they are subject to the copay or coinsurance, if applicable.</t>
  </si>
  <si>
    <t>Covered at 100%, subject to the plan deductible. 
&lt;br&gt;$0 generics for kids up to age 19, subject to the plan deductible
&lt;br&gt; Preventive drugs are not subject to the deductible; they are subject to the copay or coinsurance, if applicable.</t>
  </si>
  <si>
    <t>$5/$35/$70, subject to the plan deductible. 
&lt;br&gt;$0 generics for kids up to age 19, subject to the plan deductible
&lt;br&gt; Preventive drugs are not subject to the deductible; they are subject to the copay or coinsurance, if applicable.</t>
  </si>
  <si>
    <t>In-Network: $4,200 Individual / $8,400 Family</t>
  </si>
  <si>
    <t>In-Network: $4,500 Individual / $9,000 Family</t>
  </si>
  <si>
    <t>In-Network: $6,550 Individual / $13,100 Family</t>
  </si>
  <si>
    <t>In-Network: $8,750 Individual / $17,500 Family</t>
  </si>
  <si>
    <t>In-Network: $7,900 Individual / $15,800 Family</t>
  </si>
  <si>
    <t>In-Network: $8,250 Individual / $16,500 Family</t>
  </si>
  <si>
    <t>In-Network: $6,850 Individual / $13,700 Family</t>
  </si>
  <si>
    <t>In-Network: $3,800 Individual / $7,600 Family</t>
  </si>
  <si>
    <t>In-Network: $6,600 Individual / $13,200 Family</t>
  </si>
  <si>
    <t>In-Network: $7,750 Individual / $15,500 Family</t>
  </si>
  <si>
    <t>$10 copay per visit, subject to deductible for diagnostic visits &lt;br&gt;
$25 copay per visit, subject to deductible for other services performed at a pcp</t>
  </si>
  <si>
    <t>SimplyBlue Plus Silver 20</t>
  </si>
  <si>
    <t>78124NY1000345-00</t>
  </si>
  <si>
    <t>01/01/2026 - 03/31/2026</t>
  </si>
  <si>
    <t>In-Network: $2,450 Individual / $4,900 Family</t>
  </si>
  <si>
    <t>In-Network: $775 Individual / $1,550 Family</t>
  </si>
  <si>
    <t>In-Network: $1,400 Individual / $2,800 Family</t>
  </si>
  <si>
    <t>In-Network: $2,500 Individual / $5,000 Family</t>
  </si>
  <si>
    <t>Out-of-Network: $10,150 Individual / $20,300 Family</t>
  </si>
  <si>
    <t>In-Network: $8,500 Individual / $17,000 Family</t>
  </si>
  <si>
    <t>In-Network: $4,450 Individual / $8,900 Family</t>
  </si>
  <si>
    <t>In-Network: $3,700 Individual / $7,400 Family</t>
  </si>
  <si>
    <t>In-Network: $10,600 Individual / $21,200 Family</t>
  </si>
  <si>
    <t>Out-of-Network: $10,600 Individual / $21,200 Family</t>
  </si>
  <si>
    <t>In-Network: $6,750 Individual / $13,500 Family</t>
  </si>
  <si>
    <t>In-Network: $5,000 Individual / $10,000 Family</t>
  </si>
  <si>
    <t>In-Network: $10,150 Individual / $20,300 Family</t>
  </si>
  <si>
    <t>In-Network: $9,600 Individual / $19,200 Family</t>
  </si>
  <si>
    <t>In-Network: $3,000 Individual / $6,000 Family</t>
  </si>
  <si>
    <t>In-Network: $9,000 Individual / $18,000 Family</t>
  </si>
  <si>
    <t>In-Network: $7,400 Individual / $14,800 Family</t>
  </si>
  <si>
    <t>2026 First Quarter 
Monthly Premium</t>
  </si>
  <si>
    <t>In-Network:Individual and $1,200 Famliy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</si>
</sst>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3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7"/>
      <color rgb="FFFFFFFF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indexed="9"/>
      <name val="Arial"/>
      <family val="2"/>
    </font>
    <font>
      <i/>
      <sz val="18"/>
      <name val="Arial"/>
      <family val="2"/>
    </font>
    <font>
      <i/>
      <sz val="16"/>
      <name val="Arial"/>
      <family val="2"/>
    </font>
    <font>
      <b/>
      <i/>
      <sz val="18"/>
      <name val="Arial"/>
      <family val="2"/>
    </font>
    <font>
      <b/>
      <sz val="1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indexed="9"/>
      <name val="Arial"/>
      <family val="2"/>
    </font>
    <font>
      <sz val="7"/>
      <color theme="1"/>
      <name val="Calibri"/>
      <family val="2"/>
      <scheme val="minor"/>
    </font>
    <font>
      <i/>
      <sz val="7"/>
      <name val="Arial"/>
      <family val="2"/>
    </font>
    <font>
      <sz val="7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8"/>
      <color theme="0"/>
      <name val="Arial"/>
      <family val="2"/>
    </font>
    <font>
      <sz val="16"/>
      <color theme="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46AA"/>
        <bgColor rgb="FF000000"/>
      </patternFill>
    </fill>
    <fill>
      <patternFill patternType="solid">
        <fgColor rgb="FF444444"/>
        <bgColor rgb="FF000000"/>
      </patternFill>
    </fill>
    <fill>
      <patternFill patternType="solid">
        <fgColor rgb="FFF1F1F1"/>
        <bgColor rgb="FF000000"/>
      </patternFill>
    </fill>
    <fill>
      <patternFill patternType="solid">
        <fgColor rgb="FF9F9F9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F41D0"/>
        <bgColor indexed="64"/>
      </patternFill>
    </fill>
    <fill>
      <patternFill patternType="solid">
        <fgColor rgb="FFDF41D0"/>
        <bgColor rgb="FF000000"/>
      </patternFill>
    </fill>
    <fill>
      <patternFill patternType="solid">
        <fgColor rgb="FF0066FF"/>
        <bgColor indexed="64"/>
      </patternFill>
    </fill>
    <fill>
      <patternFill patternType="solid">
        <fgColor theme="8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F9F9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9" fillId="0" borderId="0"/>
  </cellStyleXfs>
  <cellXfs count="38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4" borderId="16" xfId="0" applyFont="1" applyFill="1" applyBorder="1" applyAlignment="1">
      <alignment horizontal="left" vertical="top" wrapText="1"/>
    </xf>
    <xf numFmtId="0" fontId="7" fillId="6" borderId="17" xfId="0" applyFont="1" applyFill="1" applyBorder="1" applyAlignment="1" applyProtection="1">
      <alignment horizontal="center" vertical="center"/>
      <protection locked="0"/>
    </xf>
    <xf numFmtId="0" fontId="7" fillId="6" borderId="19" xfId="0" applyFont="1" applyFill="1" applyBorder="1" applyAlignment="1" applyProtection="1">
      <alignment horizontal="center" vertical="center"/>
      <protection locked="0"/>
    </xf>
    <xf numFmtId="0" fontId="7" fillId="6" borderId="22" xfId="0" applyFont="1" applyFill="1" applyBorder="1" applyAlignment="1" applyProtection="1">
      <alignment horizontal="center" vertical="center" wrapText="1"/>
      <protection locked="0"/>
    </xf>
    <xf numFmtId="49" fontId="7" fillId="6" borderId="23" xfId="0" applyNumberFormat="1" applyFont="1" applyFill="1" applyBorder="1" applyAlignment="1" applyProtection="1">
      <alignment horizontal="center" vertical="center" wrapText="1"/>
      <protection locked="0"/>
    </xf>
    <xf numFmtId="6" fontId="9" fillId="0" borderId="28" xfId="0" applyNumberFormat="1" applyFont="1" applyBorder="1" applyAlignment="1" applyProtection="1">
      <alignment horizontal="center" vertical="center" wrapText="1"/>
      <protection hidden="1"/>
    </xf>
    <xf numFmtId="6" fontId="9" fillId="0" borderId="29" xfId="0" applyNumberFormat="1" applyFont="1" applyBorder="1" applyAlignment="1" applyProtection="1">
      <alignment horizontal="center" vertical="center" wrapText="1"/>
      <protection hidden="1"/>
    </xf>
    <xf numFmtId="9" fontId="9" fillId="0" borderId="28" xfId="0" applyNumberFormat="1" applyFont="1" applyBorder="1" applyAlignment="1" applyProtection="1">
      <alignment horizontal="center" vertical="center" wrapText="1"/>
      <protection hidden="1"/>
    </xf>
    <xf numFmtId="9" fontId="9" fillId="0" borderId="29" xfId="0" applyNumberFormat="1" applyFont="1" applyBorder="1" applyAlignment="1" applyProtection="1">
      <alignment horizontal="center" vertical="center" wrapText="1"/>
      <protection hidden="1"/>
    </xf>
    <xf numFmtId="6" fontId="9" fillId="0" borderId="33" xfId="0" applyNumberFormat="1" applyFont="1" applyBorder="1" applyAlignment="1" applyProtection="1">
      <alignment horizontal="center" vertical="center" wrapText="1"/>
      <protection hidden="1"/>
    </xf>
    <xf numFmtId="6" fontId="9" fillId="0" borderId="34" xfId="0" applyNumberFormat="1" applyFont="1" applyBorder="1" applyAlignment="1" applyProtection="1">
      <alignment horizontal="center" vertical="center" wrapText="1"/>
      <protection hidden="1"/>
    </xf>
    <xf numFmtId="6" fontId="9" fillId="0" borderId="28" xfId="0" applyNumberFormat="1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6" fontId="9" fillId="0" borderId="29" xfId="0" applyNumberFormat="1" applyFont="1" applyBorder="1" applyAlignment="1" applyProtection="1">
      <alignment horizontal="center" vertical="center" wrapText="1"/>
      <protection locked="0"/>
    </xf>
    <xf numFmtId="6" fontId="9" fillId="0" borderId="33" xfId="0" applyNumberFormat="1" applyFont="1" applyBorder="1" applyAlignment="1" applyProtection="1">
      <alignment horizontal="center" vertical="center" wrapText="1"/>
      <protection locked="0"/>
    </xf>
    <xf numFmtId="6" fontId="9" fillId="0" borderId="34" xfId="0" applyNumberFormat="1" applyFont="1" applyBorder="1" applyAlignment="1" applyProtection="1">
      <alignment horizontal="center" vertical="center" wrapText="1"/>
      <protection locked="0"/>
    </xf>
    <xf numFmtId="6" fontId="9" fillId="0" borderId="39" xfId="0" applyNumberFormat="1" applyFont="1" applyBorder="1" applyAlignment="1" applyProtection="1">
      <alignment horizontal="center" vertical="center" wrapText="1"/>
      <protection hidden="1"/>
    </xf>
    <xf numFmtId="6" fontId="9" fillId="0" borderId="40" xfId="0" applyNumberFormat="1" applyFont="1" applyBorder="1" applyAlignment="1" applyProtection="1">
      <alignment horizontal="center" vertical="center" wrapText="1"/>
      <protection hidden="1"/>
    </xf>
    <xf numFmtId="164" fontId="9" fillId="0" borderId="29" xfId="0" applyNumberFormat="1" applyFont="1" applyBorder="1" applyAlignment="1" applyProtection="1">
      <alignment horizontal="center" vertical="center" wrapText="1"/>
      <protection hidden="1"/>
    </xf>
    <xf numFmtId="164" fontId="9" fillId="0" borderId="40" xfId="1" applyNumberFormat="1" applyFont="1" applyBorder="1" applyAlignment="1" applyProtection="1">
      <alignment horizontal="center" vertical="center" wrapText="1"/>
      <protection hidden="1"/>
    </xf>
    <xf numFmtId="164" fontId="9" fillId="0" borderId="28" xfId="0" applyNumberFormat="1" applyFont="1" applyBorder="1" applyAlignment="1" applyProtection="1">
      <alignment horizontal="center" vertical="center" wrapText="1"/>
      <protection hidden="1"/>
    </xf>
    <xf numFmtId="164" fontId="9" fillId="0" borderId="39" xfId="0" applyNumberFormat="1" applyFont="1" applyBorder="1" applyAlignment="1" applyProtection="1">
      <alignment horizontal="center" vertical="center" wrapText="1"/>
      <protection hidden="1"/>
    </xf>
    <xf numFmtId="0" fontId="9" fillId="0" borderId="28" xfId="0" applyFont="1" applyBorder="1" applyAlignment="1" applyProtection="1">
      <alignment horizontal="center" vertical="center" wrapText="1"/>
      <protection hidden="1"/>
    </xf>
    <xf numFmtId="0" fontId="9" fillId="0" borderId="39" xfId="0" applyFont="1" applyBorder="1" applyAlignment="1" applyProtection="1">
      <alignment horizontal="center" vertical="center" wrapText="1"/>
      <protection hidden="1"/>
    </xf>
    <xf numFmtId="0" fontId="9" fillId="0" borderId="43" xfId="0" applyFont="1" applyBorder="1" applyAlignment="1" applyProtection="1">
      <alignment horizontal="center" vertical="center" wrapText="1"/>
      <protection hidden="1"/>
    </xf>
    <xf numFmtId="0" fontId="9" fillId="0" borderId="40" xfId="0" applyFont="1" applyBorder="1" applyAlignment="1" applyProtection="1">
      <alignment horizontal="center" vertical="center" wrapText="1"/>
      <protection hidden="1"/>
    </xf>
    <xf numFmtId="6" fontId="9" fillId="0" borderId="44" xfId="0" applyNumberFormat="1" applyFont="1" applyBorder="1" applyAlignment="1" applyProtection="1">
      <alignment horizontal="center" vertical="center" wrapText="1"/>
      <protection hidden="1"/>
    </xf>
    <xf numFmtId="164" fontId="9" fillId="0" borderId="34" xfId="0" applyNumberFormat="1" applyFont="1" applyBorder="1" applyAlignment="1" applyProtection="1">
      <alignment horizontal="center" vertical="center" wrapText="1"/>
      <protection hidden="1"/>
    </xf>
    <xf numFmtId="9" fontId="9" fillId="0" borderId="28" xfId="2" applyFont="1" applyBorder="1" applyAlignment="1" applyProtection="1">
      <alignment horizontal="center" vertical="center" wrapText="1"/>
      <protection hidden="1"/>
    </xf>
    <xf numFmtId="164" fontId="9" fillId="0" borderId="29" xfId="2" applyNumberFormat="1" applyFont="1" applyBorder="1" applyAlignment="1" applyProtection="1">
      <alignment horizontal="center" vertical="center" wrapText="1"/>
      <protection hidden="1"/>
    </xf>
    <xf numFmtId="9" fontId="9" fillId="0" borderId="33" xfId="2" applyFont="1" applyBorder="1" applyAlignment="1" applyProtection="1">
      <alignment horizontal="center" vertical="center" wrapText="1"/>
      <protection hidden="1"/>
    </xf>
    <xf numFmtId="164" fontId="9" fillId="0" borderId="33" xfId="0" applyNumberFormat="1" applyFont="1" applyBorder="1" applyAlignment="1" applyProtection="1">
      <alignment horizontal="center" vertical="center" wrapText="1"/>
      <protection hidden="1"/>
    </xf>
    <xf numFmtId="164" fontId="9" fillId="0" borderId="34" xfId="2" applyNumberFormat="1" applyFont="1" applyBorder="1" applyAlignment="1" applyProtection="1">
      <alignment horizontal="center" vertical="center" wrapText="1"/>
      <protection hidden="1"/>
    </xf>
    <xf numFmtId="0" fontId="10" fillId="6" borderId="45" xfId="0" applyFont="1" applyFill="1" applyBorder="1" applyAlignment="1" applyProtection="1">
      <alignment horizontal="center" vertical="center"/>
      <protection locked="0"/>
    </xf>
    <xf numFmtId="0" fontId="10" fillId="6" borderId="46" xfId="0" applyFont="1" applyFill="1" applyBorder="1" applyAlignment="1" applyProtection="1">
      <alignment horizontal="center" vertical="center"/>
      <protection locked="0"/>
    </xf>
    <xf numFmtId="0" fontId="10" fillId="6" borderId="47" xfId="0" applyFont="1" applyFill="1" applyBorder="1" applyAlignment="1" applyProtection="1">
      <alignment horizontal="center" vertical="center" wrapText="1"/>
      <protection locked="0"/>
    </xf>
    <xf numFmtId="0" fontId="10" fillId="6" borderId="46" xfId="0" applyFont="1" applyFill="1" applyBorder="1" applyAlignment="1" applyProtection="1">
      <alignment horizontal="center" vertical="center" wrapText="1"/>
      <protection locked="0"/>
    </xf>
    <xf numFmtId="0" fontId="10" fillId="6" borderId="48" xfId="0" applyFont="1" applyFill="1" applyBorder="1" applyAlignment="1" applyProtection="1">
      <alignment horizontal="center" vertical="center" wrapText="1"/>
      <protection locked="0"/>
    </xf>
    <xf numFmtId="0" fontId="8" fillId="0" borderId="35" xfId="0" applyFont="1" applyBorder="1" applyAlignment="1" applyProtection="1">
      <alignment horizontal="left" vertical="center"/>
      <protection locked="0"/>
    </xf>
    <xf numFmtId="0" fontId="9" fillId="0" borderId="36" xfId="0" applyFont="1" applyBorder="1" applyAlignment="1" applyProtection="1">
      <alignment horizontal="center" vertical="center"/>
      <protection locked="0"/>
    </xf>
    <xf numFmtId="8" fontId="9" fillId="0" borderId="49" xfId="0" applyNumberFormat="1" applyFont="1" applyBorder="1" applyAlignment="1" applyProtection="1">
      <alignment horizontal="center" vertical="center"/>
      <protection hidden="1"/>
    </xf>
    <xf numFmtId="165" fontId="9" fillId="0" borderId="36" xfId="0" applyNumberFormat="1" applyFont="1" applyBorder="1" applyAlignment="1" applyProtection="1">
      <alignment horizontal="center" vertical="center" wrapText="1"/>
      <protection hidden="1"/>
    </xf>
    <xf numFmtId="165" fontId="9" fillId="0" borderId="37" xfId="0" applyNumberFormat="1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left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8" fontId="9" fillId="0" borderId="50" xfId="0" applyNumberFormat="1" applyFont="1" applyBorder="1" applyAlignment="1" applyProtection="1">
      <alignment horizontal="center" vertical="center"/>
      <protection hidden="1"/>
    </xf>
    <xf numFmtId="165" fontId="9" fillId="0" borderId="28" xfId="0" applyNumberFormat="1" applyFont="1" applyBorder="1" applyAlignment="1" applyProtection="1">
      <alignment horizontal="center" vertical="center" wrapText="1"/>
      <protection hidden="1"/>
    </xf>
    <xf numFmtId="165" fontId="9" fillId="0" borderId="29" xfId="0" applyNumberFormat="1" applyFont="1" applyBorder="1" applyAlignment="1" applyProtection="1">
      <alignment horizontal="center" vertical="center"/>
      <protection hidden="1"/>
    </xf>
    <xf numFmtId="6" fontId="8" fillId="0" borderId="50" xfId="0" applyNumberFormat="1" applyFont="1" applyBorder="1" applyAlignment="1" applyProtection="1">
      <alignment horizontal="center" vertical="center"/>
      <protection hidden="1"/>
    </xf>
    <xf numFmtId="6" fontId="8" fillId="0" borderId="28" xfId="0" applyNumberFormat="1" applyFont="1" applyBorder="1" applyAlignment="1" applyProtection="1">
      <alignment horizontal="center" vertical="center"/>
      <protection hidden="1"/>
    </xf>
    <xf numFmtId="6" fontId="8" fillId="0" borderId="29" xfId="0" applyNumberFormat="1" applyFont="1" applyBorder="1" applyAlignment="1" applyProtection="1">
      <alignment horizontal="center" vertical="center"/>
      <protection hidden="1"/>
    </xf>
    <xf numFmtId="164" fontId="13" fillId="0" borderId="28" xfId="0" applyNumberFormat="1" applyFont="1" applyBorder="1" applyAlignment="1" applyProtection="1">
      <alignment horizontal="center" vertical="center"/>
      <protection hidden="1"/>
    </xf>
    <xf numFmtId="164" fontId="13" fillId="0" borderId="29" xfId="0" applyNumberFormat="1" applyFont="1" applyBorder="1" applyAlignment="1" applyProtection="1">
      <alignment horizontal="center" vertical="center"/>
      <protection hidden="1"/>
    </xf>
    <xf numFmtId="164" fontId="13" fillId="0" borderId="28" xfId="0" applyNumberFormat="1" applyFont="1" applyBorder="1" applyAlignment="1" applyProtection="1">
      <alignment horizontal="center" vertical="center" wrapText="1"/>
      <protection hidden="1"/>
    </xf>
    <xf numFmtId="164" fontId="13" fillId="0" borderId="29" xfId="0" applyNumberFormat="1" applyFont="1" applyBorder="1" applyAlignment="1" applyProtection="1">
      <alignment horizontal="center" vertical="center" wrapText="1"/>
      <protection hidden="1"/>
    </xf>
    <xf numFmtId="10" fontId="13" fillId="0" borderId="33" xfId="0" applyNumberFormat="1" applyFont="1" applyBorder="1" applyAlignment="1" applyProtection="1">
      <alignment horizontal="center" vertical="center" wrapText="1"/>
      <protection hidden="1"/>
    </xf>
    <xf numFmtId="10" fontId="13" fillId="0" borderId="34" xfId="0" applyNumberFormat="1" applyFont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4" borderId="14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wrapText="1"/>
    </xf>
    <xf numFmtId="0" fontId="3" fillId="9" borderId="16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wrapText="1"/>
    </xf>
    <xf numFmtId="0" fontId="1" fillId="0" borderId="8" xfId="0" applyFont="1" applyBorder="1" applyAlignment="1">
      <alignment vertical="top" wrapText="1"/>
    </xf>
    <xf numFmtId="0" fontId="3" fillId="9" borderId="6" xfId="0" applyFont="1" applyFill="1" applyBorder="1" applyAlignment="1">
      <alignment vertical="top" wrapText="1"/>
    </xf>
    <xf numFmtId="0" fontId="1" fillId="0" borderId="8" xfId="0" applyFont="1" applyBorder="1" applyAlignment="1">
      <alignment vertical="center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8" fontId="4" fillId="4" borderId="2" xfId="0" applyNumberFormat="1" applyFont="1" applyFill="1" applyBorder="1" applyAlignment="1">
      <alignment vertical="top"/>
    </xf>
    <xf numFmtId="8" fontId="4" fillId="4" borderId="7" xfId="0" applyNumberFormat="1" applyFont="1" applyFill="1" applyBorder="1" applyAlignment="1">
      <alignment vertical="top"/>
    </xf>
    <xf numFmtId="8" fontId="4" fillId="0" borderId="2" xfId="0" applyNumberFormat="1" applyFont="1" applyBorder="1" applyAlignment="1">
      <alignment vertical="top"/>
    </xf>
    <xf numFmtId="8" fontId="4" fillId="0" borderId="7" xfId="0" applyNumberFormat="1" applyFont="1" applyBorder="1" applyAlignment="1">
      <alignment vertical="top"/>
    </xf>
    <xf numFmtId="8" fontId="4" fillId="4" borderId="3" xfId="0" applyNumberFormat="1" applyFont="1" applyFill="1" applyBorder="1" applyAlignment="1">
      <alignment vertical="top"/>
    </xf>
    <xf numFmtId="0" fontId="2" fillId="3" borderId="7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8" fontId="4" fillId="0" borderId="3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3" fillId="9" borderId="12" xfId="0" applyFont="1" applyFill="1" applyBorder="1" applyAlignment="1">
      <alignment horizontal="left" vertical="top" wrapText="1"/>
    </xf>
    <xf numFmtId="0" fontId="3" fillId="9" borderId="12" xfId="0" applyFont="1" applyFill="1" applyBorder="1" applyAlignment="1">
      <alignment vertical="top" wrapText="1"/>
    </xf>
    <xf numFmtId="0" fontId="3" fillId="4" borderId="12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3" fillId="4" borderId="14" xfId="0" applyFont="1" applyFill="1" applyBorder="1" applyAlignment="1">
      <alignment vertical="top" wrapText="1"/>
    </xf>
    <xf numFmtId="0" fontId="3" fillId="4" borderId="15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13" xfId="0" applyFont="1" applyFill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5" fillId="5" borderId="10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16" fillId="0" borderId="2" xfId="0" applyFont="1" applyBorder="1" applyAlignment="1">
      <alignment horizontal="right" vertical="center" wrapText="1"/>
    </xf>
    <xf numFmtId="0" fontId="5" fillId="11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15" fillId="0" borderId="0" xfId="0" applyFont="1" applyAlignment="1">
      <alignment horizontal="right"/>
    </xf>
    <xf numFmtId="8" fontId="4" fillId="0" borderId="2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top" wrapText="1"/>
    </xf>
    <xf numFmtId="0" fontId="5" fillId="0" borderId="4" xfId="0" applyFont="1" applyBorder="1" applyAlignment="1">
      <alignment horizontal="right" vertical="center" wrapText="1"/>
    </xf>
    <xf numFmtId="6" fontId="3" fillId="0" borderId="28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8" fontId="4" fillId="0" borderId="3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5" fillId="0" borderId="28" xfId="0" applyFont="1" applyBorder="1" applyAlignment="1">
      <alignment horizontal="right" vertical="top" wrapText="1"/>
    </xf>
    <xf numFmtId="0" fontId="19" fillId="6" borderId="47" xfId="0" applyFont="1" applyFill="1" applyBorder="1" applyAlignment="1" applyProtection="1">
      <alignment horizontal="center" vertical="center" wrapText="1"/>
      <protection locked="0"/>
    </xf>
    <xf numFmtId="0" fontId="19" fillId="6" borderId="46" xfId="0" applyFont="1" applyFill="1" applyBorder="1" applyAlignment="1" applyProtection="1">
      <alignment horizontal="center" vertical="center" wrapText="1"/>
      <protection locked="0"/>
    </xf>
    <xf numFmtId="0" fontId="19" fillId="6" borderId="48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/>
    <xf numFmtId="9" fontId="4" fillId="0" borderId="28" xfId="2" applyFont="1" applyFill="1" applyBorder="1" applyAlignment="1">
      <alignment horizontal="center" vertical="center"/>
    </xf>
    <xf numFmtId="0" fontId="11" fillId="0" borderId="30" xfId="0" applyFont="1" applyBorder="1" applyAlignment="1" applyProtection="1">
      <alignment horizontal="right" vertical="center"/>
      <protection locked="0"/>
    </xf>
    <xf numFmtId="0" fontId="11" fillId="0" borderId="31" xfId="0" applyFont="1" applyBorder="1" applyAlignment="1" applyProtection="1">
      <alignment horizontal="right" vertical="center"/>
      <protection locked="0"/>
    </xf>
    <xf numFmtId="0" fontId="8" fillId="8" borderId="41" xfId="0" applyFont="1" applyFill="1" applyBorder="1" applyAlignment="1" applyProtection="1">
      <alignment horizontal="center" vertical="center"/>
      <protection locked="0"/>
    </xf>
    <xf numFmtId="0" fontId="8" fillId="8" borderId="42" xfId="0" applyFont="1" applyFill="1" applyBorder="1" applyAlignment="1" applyProtection="1">
      <alignment horizontal="center" vertical="center"/>
      <protection locked="0"/>
    </xf>
    <xf numFmtId="0" fontId="3" fillId="9" borderId="28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2" fillId="0" borderId="28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8" fontId="12" fillId="0" borderId="0" xfId="0" applyNumberFormat="1" applyFont="1" applyAlignment="1" applyProtection="1">
      <alignment horizontal="center" vertical="center"/>
      <protection locked="0"/>
    </xf>
    <xf numFmtId="10" fontId="4" fillId="0" borderId="0" xfId="2" applyNumberFormat="1" applyFont="1" applyFill="1" applyBorder="1" applyAlignment="1">
      <alignment horizontal="center" vertical="center"/>
    </xf>
    <xf numFmtId="0" fontId="19" fillId="6" borderId="60" xfId="0" applyFont="1" applyFill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center" vertical="top" wrapText="1"/>
    </xf>
    <xf numFmtId="0" fontId="5" fillId="9" borderId="4" xfId="0" applyFont="1" applyFill="1" applyBorder="1" applyAlignment="1">
      <alignment horizontal="right" vertical="center" wrapText="1"/>
    </xf>
    <xf numFmtId="0" fontId="5" fillId="9" borderId="0" xfId="0" applyFont="1" applyFill="1" applyAlignment="1">
      <alignment horizontal="right" vertical="center" wrapText="1"/>
    </xf>
    <xf numFmtId="6" fontId="3" fillId="9" borderId="28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2" xfId="0" applyFont="1" applyFill="1" applyBorder="1" applyAlignment="1">
      <alignment horizontal="right" vertical="top" wrapText="1"/>
    </xf>
    <xf numFmtId="0" fontId="19" fillId="6" borderId="45" xfId="0" applyFont="1" applyFill="1" applyBorder="1" applyAlignment="1" applyProtection="1">
      <alignment horizontal="right"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5" fillId="0" borderId="8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5" fillId="0" borderId="61" xfId="0" applyFont="1" applyBorder="1" applyAlignment="1">
      <alignment horizontal="right" vertical="top" wrapText="1"/>
    </xf>
    <xf numFmtId="0" fontId="5" fillId="0" borderId="62" xfId="0" applyFont="1" applyBorder="1" applyAlignment="1">
      <alignment horizontal="right" vertical="top" wrapText="1"/>
    </xf>
    <xf numFmtId="0" fontId="5" fillId="9" borderId="41" xfId="0" applyFont="1" applyFill="1" applyBorder="1" applyAlignment="1" applyProtection="1">
      <alignment horizontal="right" vertical="center" wrapText="1"/>
      <protection locked="0"/>
    </xf>
    <xf numFmtId="0" fontId="19" fillId="6" borderId="46" xfId="0" applyFont="1" applyFill="1" applyBorder="1" applyAlignment="1" applyProtection="1">
      <alignment horizontal="right" vertical="center"/>
      <protection locked="0"/>
    </xf>
    <xf numFmtId="0" fontId="21" fillId="0" borderId="28" xfId="0" applyFont="1" applyBorder="1" applyAlignment="1" applyProtection="1">
      <alignment horizontal="right" vertical="center"/>
      <protection locked="0"/>
    </xf>
    <xf numFmtId="0" fontId="22" fillId="0" borderId="28" xfId="0" applyFont="1" applyBorder="1" applyAlignment="1">
      <alignment horizontal="center" vertical="center"/>
    </xf>
    <xf numFmtId="0" fontId="3" fillId="9" borderId="28" xfId="0" applyFont="1" applyFill="1" applyBorder="1" applyAlignment="1" applyProtection="1">
      <alignment horizontal="center" vertical="center" wrapText="1"/>
      <protection locked="0"/>
    </xf>
    <xf numFmtId="0" fontId="5" fillId="0" borderId="42" xfId="0" applyFont="1" applyBorder="1" applyAlignment="1">
      <alignment horizontal="right" vertical="top" wrapText="1"/>
    </xf>
    <xf numFmtId="8" fontId="4" fillId="0" borderId="42" xfId="0" applyNumberFormat="1" applyFont="1" applyBorder="1" applyAlignment="1">
      <alignment horizontal="center" vertical="center"/>
    </xf>
    <xf numFmtId="0" fontId="15" fillId="0" borderId="63" xfId="0" applyFont="1" applyBorder="1"/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vertical="center" wrapText="1"/>
    </xf>
    <xf numFmtId="0" fontId="5" fillId="0" borderId="61" xfId="0" applyFont="1" applyBorder="1" applyAlignment="1">
      <alignment vertical="top" wrapText="1"/>
    </xf>
    <xf numFmtId="0" fontId="18" fillId="12" borderId="28" xfId="0" applyFont="1" applyFill="1" applyBorder="1" applyAlignment="1">
      <alignment horizontal="center" vertical="center" wrapText="1"/>
    </xf>
    <xf numFmtId="6" fontId="3" fillId="13" borderId="28" xfId="0" applyNumberFormat="1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8" fontId="4" fillId="13" borderId="28" xfId="0" applyNumberFormat="1" applyFont="1" applyFill="1" applyBorder="1" applyAlignment="1">
      <alignment horizontal="center" vertical="center"/>
    </xf>
    <xf numFmtId="8" fontId="4" fillId="13" borderId="39" xfId="0" applyNumberFormat="1" applyFont="1" applyFill="1" applyBorder="1" applyAlignment="1">
      <alignment horizontal="center" vertical="center"/>
    </xf>
    <xf numFmtId="0" fontId="0" fillId="13" borderId="0" xfId="0" applyFill="1"/>
    <xf numFmtId="0" fontId="18" fillId="15" borderId="28" xfId="0" applyFont="1" applyFill="1" applyBorder="1" applyAlignment="1">
      <alignment horizontal="center" vertical="center" wrapText="1"/>
    </xf>
    <xf numFmtId="6" fontId="3" fillId="16" borderId="28" xfId="0" applyNumberFormat="1" applyFont="1" applyFill="1" applyBorder="1" applyAlignment="1">
      <alignment horizontal="center" vertical="center" wrapText="1"/>
    </xf>
    <xf numFmtId="0" fontId="3" fillId="16" borderId="28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top" wrapText="1"/>
    </xf>
    <xf numFmtId="0" fontId="3" fillId="16" borderId="5" xfId="0" applyFont="1" applyFill="1" applyBorder="1" applyAlignment="1">
      <alignment horizontal="center" vertical="top" wrapText="1"/>
    </xf>
    <xf numFmtId="0" fontId="19" fillId="16" borderId="48" xfId="0" applyFont="1" applyFill="1" applyBorder="1" applyAlignment="1" applyProtection="1">
      <alignment horizontal="center" vertical="center" wrapText="1"/>
      <protection locked="0"/>
    </xf>
    <xf numFmtId="8" fontId="4" fillId="16" borderId="28" xfId="0" applyNumberFormat="1" applyFont="1" applyFill="1" applyBorder="1" applyAlignment="1">
      <alignment horizontal="center" vertical="center"/>
    </xf>
    <xf numFmtId="8" fontId="4" fillId="16" borderId="39" xfId="0" applyNumberFormat="1" applyFont="1" applyFill="1" applyBorder="1" applyAlignment="1">
      <alignment horizontal="center" vertical="center"/>
    </xf>
    <xf numFmtId="8" fontId="4" fillId="16" borderId="0" xfId="0" applyNumberFormat="1" applyFont="1" applyFill="1" applyAlignment="1">
      <alignment horizontal="center" vertical="center"/>
    </xf>
    <xf numFmtId="9" fontId="4" fillId="16" borderId="28" xfId="2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" fillId="10" borderId="5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6" fontId="3" fillId="18" borderId="28" xfId="0" applyNumberFormat="1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vertical="top" wrapText="1"/>
    </xf>
    <xf numFmtId="0" fontId="3" fillId="18" borderId="5" xfId="0" applyFont="1" applyFill="1" applyBorder="1" applyAlignment="1">
      <alignment vertical="top" wrapText="1"/>
    </xf>
    <xf numFmtId="0" fontId="3" fillId="19" borderId="1" xfId="0" applyFont="1" applyFill="1" applyBorder="1" applyAlignment="1">
      <alignment vertical="top" wrapText="1"/>
    </xf>
    <xf numFmtId="0" fontId="3" fillId="18" borderId="1" xfId="0" applyFont="1" applyFill="1" applyBorder="1" applyAlignment="1">
      <alignment vertical="top" wrapText="1"/>
    </xf>
    <xf numFmtId="0" fontId="3" fillId="19" borderId="2" xfId="0" applyFont="1" applyFill="1" applyBorder="1" applyAlignment="1">
      <alignment vertical="top" wrapText="1"/>
    </xf>
    <xf numFmtId="0" fontId="3" fillId="18" borderId="2" xfId="0" applyFont="1" applyFill="1" applyBorder="1" applyAlignment="1">
      <alignment vertical="top" wrapText="1"/>
    </xf>
    <xf numFmtId="0" fontId="23" fillId="0" borderId="0" xfId="0" applyFont="1"/>
    <xf numFmtId="0" fontId="8" fillId="0" borderId="0" xfId="0" applyFont="1" applyAlignment="1">
      <alignment vertical="center" wrapText="1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0" fillId="6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165" fontId="23" fillId="0" borderId="28" xfId="1" applyNumberFormat="1" applyFont="1" applyBorder="1" applyAlignment="1" applyProtection="1">
      <alignment horizontal="center" vertical="center" wrapText="1"/>
    </xf>
    <xf numFmtId="44" fontId="23" fillId="0" borderId="36" xfId="0" applyNumberFormat="1" applyFont="1" applyBorder="1"/>
    <xf numFmtId="44" fontId="23" fillId="0" borderId="37" xfId="0" applyNumberFormat="1" applyFont="1" applyBorder="1"/>
    <xf numFmtId="44" fontId="23" fillId="0" borderId="33" xfId="0" applyNumberFormat="1" applyFont="1" applyBorder="1"/>
    <xf numFmtId="44" fontId="23" fillId="0" borderId="33" xfId="0" applyNumberFormat="1" applyFont="1" applyBorder="1" applyAlignment="1">
      <alignment horizontal="center" vertical="center"/>
    </xf>
    <xf numFmtId="44" fontId="23" fillId="0" borderId="34" xfId="0" applyNumberFormat="1" applyFont="1" applyBorder="1" applyAlignment="1">
      <alignment horizontal="center" vertical="center"/>
    </xf>
    <xf numFmtId="165" fontId="23" fillId="0" borderId="36" xfId="0" applyNumberFormat="1" applyFont="1" applyBorder="1" applyAlignment="1">
      <alignment horizontal="center" vertical="center"/>
    </xf>
    <xf numFmtId="165" fontId="23" fillId="0" borderId="37" xfId="0" applyNumberFormat="1" applyFont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5" fontId="23" fillId="0" borderId="29" xfId="0" applyNumberFormat="1" applyFont="1" applyBorder="1" applyAlignment="1">
      <alignment horizontal="center" vertical="center"/>
    </xf>
    <xf numFmtId="10" fontId="23" fillId="0" borderId="33" xfId="2" applyNumberFormat="1" applyFont="1" applyBorder="1" applyAlignment="1" applyProtection="1">
      <alignment horizontal="center" vertical="center"/>
    </xf>
    <xf numFmtId="10" fontId="23" fillId="0" borderId="34" xfId="2" applyNumberFormat="1" applyFont="1" applyBorder="1" applyAlignment="1" applyProtection="1">
      <alignment horizontal="center" vertical="center"/>
    </xf>
    <xf numFmtId="0" fontId="12" fillId="0" borderId="0" xfId="0" applyFont="1" applyAlignment="1">
      <alignment horizontal="right" vertical="center"/>
    </xf>
    <xf numFmtId="10" fontId="23" fillId="0" borderId="0" xfId="2" applyNumberFormat="1" applyFont="1" applyBorder="1" applyAlignment="1" applyProtection="1">
      <alignment horizontal="center" vertical="center"/>
    </xf>
    <xf numFmtId="0" fontId="25" fillId="20" borderId="39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/>
    <xf numFmtId="44" fontId="0" fillId="0" borderId="0" xfId="0" applyNumberFormat="1"/>
    <xf numFmtId="0" fontId="28" fillId="0" borderId="0" xfId="0" applyFont="1"/>
    <xf numFmtId="0" fontId="10" fillId="6" borderId="35" xfId="0" applyFont="1" applyFill="1" applyBorder="1" applyAlignment="1" applyProtection="1">
      <alignment horizontal="center" vertical="center"/>
      <protection locked="0"/>
    </xf>
    <xf numFmtId="0" fontId="10" fillId="6" borderId="36" xfId="0" applyFont="1" applyFill="1" applyBorder="1" applyAlignment="1" applyProtection="1">
      <alignment horizontal="center" vertical="center"/>
      <protection locked="0"/>
    </xf>
    <xf numFmtId="0" fontId="8" fillId="0" borderId="27" xfId="0" applyFont="1" applyBorder="1" applyAlignment="1">
      <alignment horizontal="right" vertical="center" wrapText="1"/>
    </xf>
    <xf numFmtId="0" fontId="8" fillId="0" borderId="28" xfId="0" applyFont="1" applyBorder="1" applyAlignment="1">
      <alignment horizontal="right" vertical="center" wrapText="1"/>
    </xf>
    <xf numFmtId="0" fontId="8" fillId="0" borderId="32" xfId="0" applyFont="1" applyBorder="1" applyAlignment="1">
      <alignment horizontal="right" vertical="center" wrapText="1"/>
    </xf>
    <xf numFmtId="0" fontId="8" fillId="0" borderId="33" xfId="0" applyFont="1" applyBorder="1" applyAlignment="1">
      <alignment horizontal="right" vertical="center" wrapText="1"/>
    </xf>
    <xf numFmtId="0" fontId="8" fillId="8" borderId="60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2" fillId="0" borderId="35" xfId="0" applyFont="1" applyBorder="1" applyAlignment="1">
      <alignment horizontal="right" vertical="center"/>
    </xf>
    <xf numFmtId="0" fontId="12" fillId="0" borderId="36" xfId="0" applyFont="1" applyBorder="1" applyAlignment="1">
      <alignment horizontal="right" vertical="center"/>
    </xf>
    <xf numFmtId="0" fontId="12" fillId="0" borderId="27" xfId="0" applyFont="1" applyBorder="1" applyAlignment="1">
      <alignment horizontal="right" vertical="center"/>
    </xf>
    <xf numFmtId="0" fontId="12" fillId="0" borderId="28" xfId="0" applyFont="1" applyBorder="1" applyAlignment="1">
      <alignment horizontal="right" vertical="center"/>
    </xf>
    <xf numFmtId="0" fontId="12" fillId="0" borderId="32" xfId="0" applyFont="1" applyBorder="1" applyAlignment="1">
      <alignment horizontal="right" vertical="center"/>
    </xf>
    <xf numFmtId="0" fontId="12" fillId="0" borderId="33" xfId="0" applyFont="1" applyBorder="1" applyAlignment="1">
      <alignment horizontal="right" vertical="center"/>
    </xf>
    <xf numFmtId="0" fontId="8" fillId="0" borderId="28" xfId="0" applyFont="1" applyBorder="1" applyAlignment="1" applyProtection="1">
      <alignment horizontal="right" vertical="center" wrapText="1"/>
      <protection locked="0"/>
    </xf>
    <xf numFmtId="0" fontId="26" fillId="21" borderId="39" xfId="0" applyFont="1" applyFill="1" applyBorder="1" applyAlignment="1">
      <alignment horizontal="center" vertical="center" wrapText="1"/>
    </xf>
    <xf numFmtId="165" fontId="23" fillId="0" borderId="28" xfId="1" applyNumberFormat="1" applyFont="1" applyBorder="1" applyAlignment="1">
      <alignment horizontal="center" vertical="center" wrapText="1"/>
    </xf>
    <xf numFmtId="0" fontId="24" fillId="0" borderId="28" xfId="0" applyFont="1" applyBorder="1" applyAlignment="1" applyProtection="1">
      <alignment horizontal="right" vertical="center" wrapText="1"/>
      <protection locked="0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8" fontId="4" fillId="4" borderId="2" xfId="0" applyNumberFormat="1" applyFont="1" applyFill="1" applyBorder="1" applyAlignment="1">
      <alignment horizontal="left" vertical="top"/>
    </xf>
    <xf numFmtId="8" fontId="4" fillId="4" borderId="7" xfId="0" applyNumberFormat="1" applyFont="1" applyFill="1" applyBorder="1" applyAlignment="1">
      <alignment horizontal="left" vertical="top"/>
    </xf>
    <xf numFmtId="8" fontId="4" fillId="0" borderId="2" xfId="0" applyNumberFormat="1" applyFont="1" applyBorder="1" applyAlignment="1">
      <alignment horizontal="left" vertical="top"/>
    </xf>
    <xf numFmtId="8" fontId="4" fillId="0" borderId="3" xfId="0" applyNumberFormat="1" applyFont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56" xfId="0" applyFont="1" applyBorder="1" applyAlignment="1">
      <alignment horizontal="right" vertical="top" wrapText="1"/>
    </xf>
    <xf numFmtId="0" fontId="15" fillId="0" borderId="63" xfId="0" applyFont="1" applyBorder="1" applyAlignment="1">
      <alignment horizontal="right"/>
    </xf>
    <xf numFmtId="0" fontId="15" fillId="0" borderId="64" xfId="0" applyFont="1" applyBorder="1" applyAlignment="1">
      <alignment horizontal="right"/>
    </xf>
    <xf numFmtId="0" fontId="5" fillId="0" borderId="61" xfId="0" applyFont="1" applyBorder="1" applyAlignment="1">
      <alignment horizontal="right" vertical="top" wrapText="1"/>
    </xf>
    <xf numFmtId="0" fontId="5" fillId="0" borderId="43" xfId="0" applyFont="1" applyBorder="1" applyAlignment="1">
      <alignment horizontal="right" vertical="top" wrapText="1"/>
    </xf>
    <xf numFmtId="0" fontId="5" fillId="9" borderId="41" xfId="0" applyFont="1" applyFill="1" applyBorder="1" applyAlignment="1" applyProtection="1">
      <alignment horizontal="right" vertical="center" wrapText="1"/>
      <protection locked="0"/>
    </xf>
    <xf numFmtId="0" fontId="5" fillId="9" borderId="43" xfId="0" applyFont="1" applyFill="1" applyBorder="1" applyAlignment="1" applyProtection="1">
      <alignment horizontal="right" vertical="center" wrapText="1"/>
      <protection locked="0"/>
    </xf>
    <xf numFmtId="0" fontId="5" fillId="0" borderId="8" xfId="0" applyFont="1" applyBorder="1" applyAlignment="1">
      <alignment horizontal="right" vertical="center" wrapText="1"/>
    </xf>
    <xf numFmtId="0" fontId="5" fillId="0" borderId="56" xfId="0" applyFont="1" applyBorder="1" applyAlignment="1">
      <alignment horizontal="right" vertical="center" wrapText="1"/>
    </xf>
    <xf numFmtId="0" fontId="21" fillId="0" borderId="28" xfId="0" applyFont="1" applyBorder="1" applyAlignment="1" applyProtection="1">
      <alignment horizontal="right" vertical="center"/>
      <protection locked="0"/>
    </xf>
    <xf numFmtId="0" fontId="8" fillId="7" borderId="55" xfId="0" applyFont="1" applyFill="1" applyBorder="1" applyAlignment="1" applyProtection="1">
      <alignment horizontal="center" vertical="center" wrapText="1"/>
      <protection locked="0"/>
    </xf>
    <xf numFmtId="0" fontId="8" fillId="7" borderId="0" xfId="0" applyFont="1" applyFill="1" applyAlignment="1" applyProtection="1">
      <alignment horizontal="center" vertical="center" wrapText="1"/>
      <protection locked="0"/>
    </xf>
    <xf numFmtId="0" fontId="8" fillId="7" borderId="56" xfId="0" applyFont="1" applyFill="1" applyBorder="1" applyAlignment="1" applyProtection="1">
      <alignment horizontal="center" vertical="center" wrapText="1"/>
      <protection locked="0"/>
    </xf>
    <xf numFmtId="0" fontId="8" fillId="7" borderId="57" xfId="0" applyFont="1" applyFill="1" applyBorder="1" applyAlignment="1" applyProtection="1">
      <alignment horizontal="center" vertical="center" wrapText="1"/>
      <protection locked="0"/>
    </xf>
    <xf numFmtId="0" fontId="8" fillId="7" borderId="58" xfId="0" applyFont="1" applyFill="1" applyBorder="1" applyAlignment="1" applyProtection="1">
      <alignment horizontal="center" vertical="center" wrapText="1"/>
      <protection locked="0"/>
    </xf>
    <xf numFmtId="0" fontId="8" fillId="7" borderId="59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right" vertical="top" wrapText="1"/>
    </xf>
    <xf numFmtId="0" fontId="3" fillId="0" borderId="56" xfId="0" applyFont="1" applyBorder="1" applyAlignment="1">
      <alignment horizontal="right" vertical="top" wrapText="1"/>
    </xf>
    <xf numFmtId="0" fontId="8" fillId="7" borderId="55" xfId="0" applyFont="1" applyFill="1" applyBorder="1" applyAlignment="1" applyProtection="1">
      <alignment horizontal="center" vertical="center"/>
      <protection locked="0"/>
    </xf>
    <xf numFmtId="0" fontId="8" fillId="7" borderId="0" xfId="0" applyFont="1" applyFill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right" vertical="center"/>
      <protection locked="0"/>
    </xf>
    <xf numFmtId="0" fontId="11" fillId="0" borderId="31" xfId="0" applyFont="1" applyBorder="1" applyAlignment="1" applyProtection="1">
      <alignment horizontal="right" vertical="center"/>
      <protection locked="0"/>
    </xf>
    <xf numFmtId="0" fontId="8" fillId="8" borderId="41" xfId="0" applyFont="1" applyFill="1" applyBorder="1" applyAlignment="1" applyProtection="1">
      <alignment horizontal="center" vertical="center"/>
      <protection locked="0"/>
    </xf>
    <xf numFmtId="0" fontId="8" fillId="8" borderId="42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>
      <alignment horizontal="right" vertical="top" wrapText="1"/>
    </xf>
    <xf numFmtId="0" fontId="5" fillId="0" borderId="59" xfId="0" applyFont="1" applyBorder="1" applyAlignment="1">
      <alignment horizontal="right" vertical="top" wrapText="1"/>
    </xf>
    <xf numFmtId="0" fontId="17" fillId="2" borderId="28" xfId="0" applyFont="1" applyFill="1" applyBorder="1" applyAlignment="1">
      <alignment horizontal="center" vertical="center" wrapText="1"/>
    </xf>
    <xf numFmtId="8" fontId="4" fillId="0" borderId="28" xfId="0" applyNumberFormat="1" applyFont="1" applyBorder="1" applyAlignment="1">
      <alignment horizontal="center" vertical="center"/>
    </xf>
    <xf numFmtId="0" fontId="14" fillId="0" borderId="50" xfId="0" applyFont="1" applyBorder="1" applyAlignment="1" applyProtection="1">
      <alignment horizontal="center" vertical="center" wrapText="1"/>
      <protection locked="0"/>
    </xf>
    <xf numFmtId="0" fontId="14" fillId="0" borderId="51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2" fillId="0" borderId="51" xfId="0" applyFont="1" applyBorder="1" applyAlignment="1" applyProtection="1">
      <alignment vertical="center"/>
      <protection locked="0"/>
    </xf>
    <xf numFmtId="0" fontId="12" fillId="0" borderId="31" xfId="0" applyFont="1" applyBorder="1" applyAlignment="1" applyProtection="1">
      <alignment vertical="center"/>
      <protection locked="0"/>
    </xf>
    <xf numFmtId="0" fontId="12" fillId="0" borderId="52" xfId="0" applyFont="1" applyBorder="1" applyAlignment="1" applyProtection="1">
      <alignment horizontal="left" vertical="center"/>
      <protection locked="0"/>
    </xf>
    <xf numFmtId="0" fontId="12" fillId="0" borderId="53" xfId="0" applyFont="1" applyBorder="1" applyAlignment="1" applyProtection="1">
      <alignment horizontal="left" vertical="center"/>
      <protection locked="0"/>
    </xf>
    <xf numFmtId="0" fontId="12" fillId="0" borderId="54" xfId="0" applyFont="1" applyBorder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27" xfId="0" applyFont="1" applyBorder="1" applyAlignment="1" applyProtection="1">
      <alignment horizontal="center" vertical="center" wrapText="1"/>
      <protection locked="0"/>
    </xf>
    <xf numFmtId="0" fontId="8" fillId="0" borderId="28" xfId="0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0" fontId="8" fillId="0" borderId="33" xfId="0" applyFont="1" applyBorder="1" applyAlignment="1" applyProtection="1">
      <alignment horizontal="center" vertical="center" wrapText="1"/>
      <protection locked="0"/>
    </xf>
    <xf numFmtId="0" fontId="8" fillId="8" borderId="27" xfId="0" applyFont="1" applyFill="1" applyBorder="1" applyAlignment="1" applyProtection="1">
      <alignment horizontal="center" vertical="center"/>
      <protection locked="0"/>
    </xf>
    <xf numFmtId="0" fontId="8" fillId="8" borderId="28" xfId="0" applyFont="1" applyFill="1" applyBorder="1" applyAlignment="1" applyProtection="1">
      <alignment horizontal="center" vertical="center"/>
      <protection locked="0"/>
    </xf>
    <xf numFmtId="0" fontId="8" fillId="8" borderId="29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left" vertical="center"/>
      <protection locked="0"/>
    </xf>
    <xf numFmtId="0" fontId="11" fillId="0" borderId="31" xfId="0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 applyProtection="1">
      <alignment horizontal="center" vertical="center" wrapText="1"/>
      <protection locked="0"/>
    </xf>
    <xf numFmtId="0" fontId="8" fillId="7" borderId="35" xfId="0" applyFont="1" applyFill="1" applyBorder="1" applyAlignment="1" applyProtection="1">
      <alignment horizontal="center" vertical="center" wrapText="1"/>
      <protection locked="0"/>
    </xf>
    <xf numFmtId="0" fontId="8" fillId="7" borderId="36" xfId="0" applyFont="1" applyFill="1" applyBorder="1" applyAlignment="1" applyProtection="1">
      <alignment horizontal="center" vertical="center" wrapText="1"/>
      <protection locked="0"/>
    </xf>
    <xf numFmtId="0" fontId="8" fillId="7" borderId="37" xfId="0" applyFont="1" applyFill="1" applyBorder="1" applyAlignment="1" applyProtection="1">
      <alignment horizontal="center" vertical="center" wrapText="1"/>
      <protection locked="0"/>
    </xf>
    <xf numFmtId="0" fontId="8" fillId="0" borderId="41" xfId="0" applyFont="1" applyBorder="1" applyAlignment="1" applyProtection="1">
      <alignment horizontal="center" vertical="center" wrapText="1"/>
      <protection locked="0"/>
    </xf>
    <xf numFmtId="0" fontId="8" fillId="0" borderId="42" xfId="0" applyFont="1" applyBorder="1" applyAlignment="1" applyProtection="1">
      <alignment horizontal="center" vertical="center" wrapText="1"/>
      <protection locked="0"/>
    </xf>
    <xf numFmtId="0" fontId="8" fillId="7" borderId="24" xfId="0" applyFont="1" applyFill="1" applyBorder="1" applyAlignment="1" applyProtection="1">
      <alignment horizontal="center" vertical="center" wrapText="1"/>
      <protection locked="0"/>
    </xf>
    <xf numFmtId="0" fontId="8" fillId="7" borderId="25" xfId="0" applyFont="1" applyFill="1" applyBorder="1" applyAlignment="1" applyProtection="1">
      <alignment horizontal="center" vertical="center" wrapText="1"/>
      <protection locked="0"/>
    </xf>
    <xf numFmtId="0" fontId="8" fillId="7" borderId="26" xfId="0" applyFont="1" applyFill="1" applyBorder="1" applyAlignment="1" applyProtection="1">
      <alignment horizontal="center" vertical="center" wrapText="1"/>
      <protection locked="0"/>
    </xf>
    <xf numFmtId="0" fontId="7" fillId="6" borderId="17" xfId="0" applyFont="1" applyFill="1" applyBorder="1" applyAlignment="1" applyProtection="1">
      <alignment horizontal="center" vertical="center"/>
      <protection locked="0"/>
    </xf>
    <xf numFmtId="0" fontId="7" fillId="6" borderId="18" xfId="0" applyFont="1" applyFill="1" applyBorder="1" applyAlignment="1" applyProtection="1">
      <alignment horizontal="center" vertical="center"/>
      <protection locked="0"/>
    </xf>
    <xf numFmtId="0" fontId="7" fillId="6" borderId="20" xfId="0" applyFont="1" applyFill="1" applyBorder="1" applyAlignment="1" applyProtection="1">
      <alignment horizontal="center" vertical="center"/>
      <protection locked="0"/>
    </xf>
    <xf numFmtId="0" fontId="7" fillId="6" borderId="21" xfId="0" applyFont="1" applyFill="1" applyBorder="1" applyAlignment="1" applyProtection="1">
      <alignment horizontal="center" vertical="center"/>
      <protection locked="0"/>
    </xf>
    <xf numFmtId="0" fontId="8" fillId="7" borderId="24" xfId="0" applyFont="1" applyFill="1" applyBorder="1" applyAlignment="1" applyProtection="1">
      <alignment horizontal="center" vertical="center"/>
      <protection locked="0"/>
    </xf>
    <xf numFmtId="0" fontId="8" fillId="7" borderId="25" xfId="0" applyFont="1" applyFill="1" applyBorder="1" applyAlignment="1" applyProtection="1">
      <alignment horizontal="center" vertical="center"/>
      <protection locked="0"/>
    </xf>
    <xf numFmtId="0" fontId="8" fillId="7" borderId="26" xfId="0" applyFont="1" applyFill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</cellXfs>
  <cellStyles count="4">
    <cellStyle name="Currency" xfId="1" builtinId="4"/>
    <cellStyle name="Normal" xfId="0" builtinId="0"/>
    <cellStyle name="Normal 2" xfId="3" xr:uid="{EF025E2A-98F8-4D6C-85C9-1782821453C5}"/>
    <cellStyle name="Percent" xfId="2" builtinId="5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2D050"/>
      </font>
    </dxf>
    <dxf>
      <font>
        <color rgb="FF9C0006"/>
      </font>
    </dxf>
    <dxf>
      <font>
        <condense val="0"/>
        <extend val="0"/>
        <color indexed="10"/>
      </font>
    </dxf>
    <dxf>
      <font>
        <color rgb="FF9C0006"/>
      </font>
    </dxf>
    <dxf>
      <font>
        <color rgb="FF92D050"/>
      </font>
    </dxf>
    <dxf>
      <font>
        <color rgb="FF9C0006"/>
      </font>
    </dxf>
    <dxf>
      <font>
        <color rgb="FF92D050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66FF"/>
      <color rgb="FFDF4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ridian-my.sharepoint.com/Users/georg/AppData/Local/Microsoft/Windows/INetCache/Content.Outlook/F7MPI197/2021%20SG%20Medical%20Sprea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2021 Q1 Platinum 2"/>
      <sheetName val="2021 Q1 Gold 17"/>
      <sheetName val="2021 Q1 Silver 14"/>
      <sheetName val="2021 Q1 Bronze 4"/>
      <sheetName val="Master "/>
      <sheetName val="Sandra Q4 Copay"/>
      <sheetName val="Sandra Q4 Hybrid"/>
      <sheetName val="Sandra Q4 HDHP"/>
      <sheetName val="Sandra Q4 MVP HDHP"/>
      <sheetName val="Q3 (2)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Select Plan</v>
          </cell>
        </row>
        <row r="3">
          <cell r="C3" t="str">
            <v>2020 Excellus Plans</v>
          </cell>
        </row>
        <row r="4">
          <cell r="C4" t="str">
            <v>Excellus SB Plus Gold 1</v>
          </cell>
          <cell r="H4" t="str">
            <v>Copay</v>
          </cell>
          <cell r="I4" t="str">
            <v>N/A</v>
          </cell>
          <cell r="J4" t="str">
            <v>N/A</v>
          </cell>
          <cell r="K4">
            <v>7600</v>
          </cell>
          <cell r="L4">
            <v>15200</v>
          </cell>
          <cell r="M4" t="str">
            <v>N/A</v>
          </cell>
          <cell r="N4">
            <v>25</v>
          </cell>
          <cell r="O4">
            <v>40</v>
          </cell>
          <cell r="P4">
            <v>40</v>
          </cell>
          <cell r="Q4" t="str">
            <v>Lab: $40/ X-Ray: $40</v>
          </cell>
          <cell r="R4">
            <v>450</v>
          </cell>
          <cell r="S4">
            <v>450</v>
          </cell>
          <cell r="T4">
            <v>1000</v>
          </cell>
          <cell r="U4">
            <v>450</v>
          </cell>
          <cell r="V4">
            <v>1000</v>
          </cell>
          <cell r="W4">
            <v>100</v>
          </cell>
          <cell r="X4">
            <v>1000</v>
          </cell>
          <cell r="Y4">
            <v>25</v>
          </cell>
          <cell r="Z4">
            <v>40</v>
          </cell>
          <cell r="AA4">
            <v>25</v>
          </cell>
          <cell r="AB4">
            <v>40</v>
          </cell>
          <cell r="AC4" t="str">
            <v>$40 Copay for up to 60 visits per contract year</v>
          </cell>
          <cell r="AD4" t="str">
            <v>Adult/ Pediatric: $40 Copay for one routine exam per year</v>
          </cell>
          <cell r="AE4" t="str">
            <v>Adult: $60 allowance per year; Pediatric: Covered at 50% for one purchase per year</v>
          </cell>
          <cell r="AF4" t="str">
            <v>Covered at 50%</v>
          </cell>
          <cell r="AG4" t="str">
            <v>N/A</v>
          </cell>
          <cell r="AH4">
            <v>15</v>
          </cell>
          <cell r="AI4">
            <v>0.4</v>
          </cell>
          <cell r="AJ4">
            <v>0.5</v>
          </cell>
          <cell r="AK4" t="str">
            <v>Yes</v>
          </cell>
          <cell r="AL4" t="str">
            <v>N/A</v>
          </cell>
          <cell r="AM4">
            <v>10</v>
          </cell>
          <cell r="AN4">
            <v>627.37</v>
          </cell>
          <cell r="AO4">
            <v>1254.73</v>
          </cell>
          <cell r="AP4">
            <v>1066.52</v>
          </cell>
          <cell r="AQ4">
            <v>1788</v>
          </cell>
          <cell r="AR4">
            <v>639.91999999999996</v>
          </cell>
          <cell r="AS4">
            <v>1279.8399999999999</v>
          </cell>
          <cell r="AT4">
            <v>1087.8599999999999</v>
          </cell>
          <cell r="AU4">
            <v>1823.77</v>
          </cell>
          <cell r="AV4">
            <v>652.72</v>
          </cell>
          <cell r="AW4">
            <v>1305.44</v>
          </cell>
          <cell r="AX4">
            <v>1109.6199999999999</v>
          </cell>
          <cell r="AY4">
            <v>1860.25</v>
          </cell>
          <cell r="AZ4">
            <v>665.77</v>
          </cell>
          <cell r="BA4">
            <v>1331.54</v>
          </cell>
          <cell r="BB4">
            <v>1131.81</v>
          </cell>
          <cell r="BC4">
            <v>1897.44</v>
          </cell>
        </row>
        <row r="5">
          <cell r="C5" t="str">
            <v>Excellus SB Plus Gold 5 </v>
          </cell>
          <cell r="H5" t="str">
            <v>Copay</v>
          </cell>
          <cell r="I5" t="str">
            <v>N/A</v>
          </cell>
          <cell r="J5" t="str">
            <v>N/A</v>
          </cell>
          <cell r="K5">
            <v>7000</v>
          </cell>
          <cell r="L5">
            <v>14000</v>
          </cell>
          <cell r="M5" t="str">
            <v>N/A</v>
          </cell>
          <cell r="N5">
            <v>40</v>
          </cell>
          <cell r="O5">
            <v>60</v>
          </cell>
          <cell r="P5">
            <v>60</v>
          </cell>
          <cell r="Q5" t="str">
            <v>Lab: $40/ X-Ray: $60</v>
          </cell>
          <cell r="R5">
            <v>500</v>
          </cell>
          <cell r="S5">
            <v>500</v>
          </cell>
          <cell r="T5">
            <v>1000</v>
          </cell>
          <cell r="U5">
            <v>500</v>
          </cell>
          <cell r="V5">
            <v>1000</v>
          </cell>
          <cell r="W5">
            <v>100</v>
          </cell>
          <cell r="X5">
            <v>1000</v>
          </cell>
          <cell r="Y5">
            <v>40</v>
          </cell>
          <cell r="Z5">
            <v>60</v>
          </cell>
          <cell r="AA5">
            <v>40</v>
          </cell>
          <cell r="AB5">
            <v>60</v>
          </cell>
          <cell r="AC5" t="str">
            <v>$60 Copay for up to 60 visits per contract year</v>
          </cell>
          <cell r="AD5" t="str">
            <v>Adult/ Pediatric: $60 Copay for one routine exam per year</v>
          </cell>
          <cell r="AE5" t="str">
            <v>Adult: $60 allowance per year; Pediatric: Covered at 50% for one purchase per year</v>
          </cell>
          <cell r="AF5" t="str">
            <v>Covered at 50%</v>
          </cell>
          <cell r="AG5" t="str">
            <v>N/A</v>
          </cell>
          <cell r="AH5">
            <v>15</v>
          </cell>
          <cell r="AI5">
            <v>75</v>
          </cell>
          <cell r="AJ5">
            <v>0.5</v>
          </cell>
          <cell r="AK5" t="str">
            <v>Yes</v>
          </cell>
          <cell r="AL5" t="str">
            <v>N/A</v>
          </cell>
          <cell r="AM5">
            <v>10</v>
          </cell>
          <cell r="AN5">
            <v>620.14</v>
          </cell>
          <cell r="AO5">
            <v>1240.29</v>
          </cell>
          <cell r="AP5">
            <v>1054.24</v>
          </cell>
          <cell r="AQ5">
            <v>1767.41</v>
          </cell>
          <cell r="AR5">
            <v>632.54</v>
          </cell>
          <cell r="AS5">
            <v>1265.08</v>
          </cell>
          <cell r="AT5">
            <v>1075.32</v>
          </cell>
          <cell r="AU5">
            <v>1802.74</v>
          </cell>
          <cell r="AV5">
            <v>645.19000000000005</v>
          </cell>
          <cell r="AW5">
            <v>1290.3800000000001</v>
          </cell>
          <cell r="AX5">
            <v>1096.82</v>
          </cell>
          <cell r="AY5">
            <v>1838.79</v>
          </cell>
          <cell r="AZ5">
            <v>658.09</v>
          </cell>
          <cell r="BA5">
            <v>1316.18</v>
          </cell>
          <cell r="BB5">
            <v>1118.75</v>
          </cell>
          <cell r="BC5">
            <v>1875.56</v>
          </cell>
        </row>
        <row r="6">
          <cell r="C6" t="str">
            <v>Excellus SB Plus Platinum 2 </v>
          </cell>
          <cell r="H6" t="str">
            <v>Copay</v>
          </cell>
          <cell r="I6" t="str">
            <v>N/A</v>
          </cell>
          <cell r="J6" t="str">
            <v>N/A</v>
          </cell>
          <cell r="K6">
            <v>6350</v>
          </cell>
          <cell r="L6">
            <v>12700</v>
          </cell>
          <cell r="M6" t="str">
            <v>N/A</v>
          </cell>
          <cell r="N6">
            <v>15</v>
          </cell>
          <cell r="O6">
            <v>25</v>
          </cell>
          <cell r="P6">
            <v>25</v>
          </cell>
          <cell r="Q6" t="str">
            <v>Lab: $15/ X-Ray: $25</v>
          </cell>
          <cell r="R6">
            <v>150</v>
          </cell>
          <cell r="S6">
            <v>150</v>
          </cell>
          <cell r="T6">
            <v>250</v>
          </cell>
          <cell r="U6">
            <v>150</v>
          </cell>
          <cell r="V6">
            <v>250</v>
          </cell>
          <cell r="W6">
            <v>100</v>
          </cell>
          <cell r="X6">
            <v>250</v>
          </cell>
          <cell r="Y6">
            <v>15</v>
          </cell>
          <cell r="Z6">
            <v>25</v>
          </cell>
          <cell r="AA6">
            <v>15</v>
          </cell>
          <cell r="AB6">
            <v>25</v>
          </cell>
          <cell r="AC6" t="str">
            <v>$25 Copay for up to 60 visits per contract year</v>
          </cell>
          <cell r="AD6" t="str">
            <v>Adult/ Pediatric: $25 Copay for one routine exam per year</v>
          </cell>
          <cell r="AE6" t="str">
            <v>Adult: $60 allowance per year; Pediatric: Covered at 50% for one purchase per year</v>
          </cell>
          <cell r="AF6" t="str">
            <v>Covered at 50%</v>
          </cell>
          <cell r="AG6" t="str">
            <v>N/A</v>
          </cell>
          <cell r="AH6">
            <v>5</v>
          </cell>
          <cell r="AI6">
            <v>35</v>
          </cell>
          <cell r="AJ6">
            <v>70</v>
          </cell>
          <cell r="AK6" t="str">
            <v>Yes</v>
          </cell>
          <cell r="AL6" t="str">
            <v>N/A</v>
          </cell>
          <cell r="AM6">
            <v>10</v>
          </cell>
          <cell r="AN6">
            <v>721.51</v>
          </cell>
          <cell r="AO6">
            <v>1443.01</v>
          </cell>
          <cell r="AP6">
            <v>1226.56</v>
          </cell>
          <cell r="AQ6">
            <v>2056.3000000000002</v>
          </cell>
          <cell r="AR6">
            <v>735.94</v>
          </cell>
          <cell r="AS6">
            <v>1471.88</v>
          </cell>
          <cell r="AT6">
            <v>1251.0999999999999</v>
          </cell>
          <cell r="AU6">
            <v>2097.4299999999998</v>
          </cell>
          <cell r="AV6">
            <v>750.66</v>
          </cell>
          <cell r="AW6">
            <v>1501.32</v>
          </cell>
          <cell r="AX6">
            <v>1276.1199999999999</v>
          </cell>
          <cell r="AY6">
            <v>2139.38</v>
          </cell>
          <cell r="AZ6">
            <v>765.67</v>
          </cell>
          <cell r="BA6">
            <v>1531.34</v>
          </cell>
          <cell r="BB6">
            <v>1301.6400000000001</v>
          </cell>
          <cell r="BC6">
            <v>2182.16</v>
          </cell>
        </row>
        <row r="7">
          <cell r="C7" t="str">
            <v>Excellus SB Plus Platinum 3 </v>
          </cell>
          <cell r="H7" t="str">
            <v>Copay</v>
          </cell>
          <cell r="I7" t="str">
            <v>N/A</v>
          </cell>
          <cell r="J7" t="str">
            <v>N/A</v>
          </cell>
          <cell r="K7">
            <v>4500</v>
          </cell>
          <cell r="L7">
            <v>9000</v>
          </cell>
          <cell r="M7" t="str">
            <v>N/A</v>
          </cell>
          <cell r="N7">
            <v>25</v>
          </cell>
          <cell r="O7">
            <v>40</v>
          </cell>
          <cell r="P7">
            <v>40</v>
          </cell>
          <cell r="Q7" t="str">
            <v>Lab: $25/ X-Ray: $40</v>
          </cell>
          <cell r="R7">
            <v>150</v>
          </cell>
          <cell r="S7">
            <v>150</v>
          </cell>
          <cell r="T7">
            <v>500</v>
          </cell>
          <cell r="U7">
            <v>150</v>
          </cell>
          <cell r="V7">
            <v>500</v>
          </cell>
          <cell r="W7">
            <v>100</v>
          </cell>
          <cell r="X7">
            <v>500</v>
          </cell>
          <cell r="Y7">
            <v>25</v>
          </cell>
          <cell r="Z7">
            <v>40</v>
          </cell>
          <cell r="AA7">
            <v>25</v>
          </cell>
          <cell r="AB7">
            <v>40</v>
          </cell>
          <cell r="AC7" t="str">
            <v>$40 Copay for up to 60 visits per contract year</v>
          </cell>
          <cell r="AD7" t="str">
            <v>Adult/ Pediatric: $40 Copay for one routine exam per year</v>
          </cell>
          <cell r="AE7" t="str">
            <v>Adult: $60 allowance per year; Pediatric: Covered at 50% for one purchase per year</v>
          </cell>
          <cell r="AF7" t="str">
            <v>Covered at 50%</v>
          </cell>
          <cell r="AG7" t="str">
            <v>N/A</v>
          </cell>
          <cell r="AH7">
            <v>5</v>
          </cell>
          <cell r="AI7">
            <v>35</v>
          </cell>
          <cell r="AJ7">
            <v>70</v>
          </cell>
          <cell r="AK7" t="str">
            <v>Yes</v>
          </cell>
          <cell r="AL7" t="str">
            <v>N/A</v>
          </cell>
          <cell r="AM7">
            <v>10</v>
          </cell>
          <cell r="AN7">
            <v>710.92</v>
          </cell>
          <cell r="AO7">
            <v>1421.84</v>
          </cell>
          <cell r="AP7">
            <v>1208.56</v>
          </cell>
          <cell r="AQ7">
            <v>2026.12</v>
          </cell>
          <cell r="AR7">
            <v>725.14</v>
          </cell>
          <cell r="AS7">
            <v>1450.28</v>
          </cell>
          <cell r="AT7">
            <v>1232.74</v>
          </cell>
          <cell r="AU7">
            <v>2066.65</v>
          </cell>
          <cell r="AV7">
            <v>739.64</v>
          </cell>
          <cell r="AW7">
            <v>1479.28</v>
          </cell>
          <cell r="AX7">
            <v>1257.3900000000001</v>
          </cell>
          <cell r="AY7">
            <v>2107.9699999999998</v>
          </cell>
          <cell r="AZ7">
            <v>754.43</v>
          </cell>
          <cell r="BA7">
            <v>1508.86</v>
          </cell>
          <cell r="BB7">
            <v>1282.53</v>
          </cell>
          <cell r="BC7">
            <v>2150.13</v>
          </cell>
        </row>
        <row r="8">
          <cell r="C8" t="str">
            <v>Excellus SB Plus Platinum 5</v>
          </cell>
          <cell r="H8" t="str">
            <v>Copay</v>
          </cell>
          <cell r="I8" t="str">
            <v>N/A</v>
          </cell>
          <cell r="J8" t="str">
            <v>N/A</v>
          </cell>
          <cell r="K8">
            <v>6550</v>
          </cell>
          <cell r="L8">
            <v>13100</v>
          </cell>
          <cell r="M8" t="str">
            <v>N/A</v>
          </cell>
          <cell r="N8">
            <v>25</v>
          </cell>
          <cell r="O8">
            <v>40</v>
          </cell>
          <cell r="P8">
            <v>40</v>
          </cell>
          <cell r="Q8" t="str">
            <v>Lab: $25/ X-Ray: $40</v>
          </cell>
          <cell r="R8">
            <v>250</v>
          </cell>
          <cell r="S8">
            <v>250</v>
          </cell>
          <cell r="T8">
            <v>750</v>
          </cell>
          <cell r="U8">
            <v>250</v>
          </cell>
          <cell r="V8">
            <v>750</v>
          </cell>
          <cell r="W8">
            <v>100</v>
          </cell>
          <cell r="X8">
            <v>750</v>
          </cell>
          <cell r="Y8">
            <v>25</v>
          </cell>
          <cell r="Z8">
            <v>40</v>
          </cell>
          <cell r="AA8">
            <v>25</v>
          </cell>
          <cell r="AB8">
            <v>40</v>
          </cell>
          <cell r="AC8" t="str">
            <v>$40 Copay for up to 60 visits per contract year</v>
          </cell>
          <cell r="AD8" t="str">
            <v>Adult/ Pediatric: $40 Copay for one routine exam per year</v>
          </cell>
          <cell r="AE8" t="str">
            <v>Adult: $60 allowance per year; Pediatric: Covered at 50% for one purchase per year</v>
          </cell>
          <cell r="AF8" t="str">
            <v>Covered at 50%</v>
          </cell>
          <cell r="AG8" t="str">
            <v>N/A</v>
          </cell>
          <cell r="AH8">
            <v>5</v>
          </cell>
          <cell r="AI8">
            <v>35</v>
          </cell>
          <cell r="AJ8">
            <v>70</v>
          </cell>
          <cell r="AK8" t="str">
            <v>Yes</v>
          </cell>
          <cell r="AL8" t="str">
            <v>N/A</v>
          </cell>
          <cell r="AM8">
            <v>10</v>
          </cell>
          <cell r="AN8">
            <v>703.9</v>
          </cell>
          <cell r="AO8">
            <v>1407.8</v>
          </cell>
          <cell r="AP8">
            <v>1196.6300000000001</v>
          </cell>
          <cell r="AQ8">
            <v>2006.13</v>
          </cell>
          <cell r="AR8">
            <v>717.98</v>
          </cell>
          <cell r="AS8">
            <v>1435.96</v>
          </cell>
          <cell r="AT8">
            <v>1220.57</v>
          </cell>
          <cell r="AU8">
            <v>2046.24</v>
          </cell>
          <cell r="AV8">
            <v>732.34</v>
          </cell>
          <cell r="AW8">
            <v>1464.68</v>
          </cell>
          <cell r="AX8">
            <v>1244.98</v>
          </cell>
          <cell r="AY8">
            <v>2087.17</v>
          </cell>
          <cell r="AZ8">
            <v>746.99</v>
          </cell>
          <cell r="BA8">
            <v>1493.98</v>
          </cell>
          <cell r="BB8">
            <v>1269.8800000000001</v>
          </cell>
          <cell r="BC8">
            <v>2128.92</v>
          </cell>
        </row>
        <row r="9">
          <cell r="C9" t="str">
            <v>Excellus SB Plus Platinum 6</v>
          </cell>
          <cell r="H9" t="str">
            <v>Copay</v>
          </cell>
          <cell r="I9" t="str">
            <v>N/A</v>
          </cell>
          <cell r="J9" t="str">
            <v>N/A</v>
          </cell>
          <cell r="K9">
            <v>6550</v>
          </cell>
          <cell r="L9">
            <v>13100</v>
          </cell>
          <cell r="M9" t="str">
            <v>N/A</v>
          </cell>
          <cell r="N9">
            <v>30</v>
          </cell>
          <cell r="O9">
            <v>50</v>
          </cell>
          <cell r="P9">
            <v>50</v>
          </cell>
          <cell r="Q9" t="str">
            <v>Lab: $30/ X-Ray: $50</v>
          </cell>
          <cell r="R9">
            <v>250</v>
          </cell>
          <cell r="S9">
            <v>250</v>
          </cell>
          <cell r="T9">
            <v>750</v>
          </cell>
          <cell r="U9">
            <v>250</v>
          </cell>
          <cell r="V9">
            <v>750</v>
          </cell>
          <cell r="W9">
            <v>100</v>
          </cell>
          <cell r="X9">
            <v>750</v>
          </cell>
          <cell r="Y9">
            <v>30</v>
          </cell>
          <cell r="Z9">
            <v>50</v>
          </cell>
          <cell r="AA9">
            <v>30</v>
          </cell>
          <cell r="AB9">
            <v>50</v>
          </cell>
          <cell r="AC9" t="str">
            <v>$50 Copay for up to 60 visits per contract year</v>
          </cell>
          <cell r="AD9" t="str">
            <v>Adult/ Pediatric: $50 Copay for one routine exam per year</v>
          </cell>
          <cell r="AE9" t="str">
            <v>Adult: $60 allowance per year; Pediatric: Covered at 50% for one purchase per year</v>
          </cell>
          <cell r="AF9" t="str">
            <v>Covered at 50%</v>
          </cell>
          <cell r="AG9" t="str">
            <v>N/A</v>
          </cell>
          <cell r="AH9">
            <v>5</v>
          </cell>
          <cell r="AI9">
            <v>35</v>
          </cell>
          <cell r="AJ9">
            <v>70</v>
          </cell>
          <cell r="AK9" t="str">
            <v>Yes</v>
          </cell>
          <cell r="AL9" t="str">
            <v>N/A</v>
          </cell>
          <cell r="AM9">
            <v>10</v>
          </cell>
          <cell r="AN9">
            <v>696.73</v>
          </cell>
          <cell r="AO9">
            <v>1393.46</v>
          </cell>
          <cell r="AP9">
            <v>1184.44</v>
          </cell>
          <cell r="AQ9">
            <v>1985.67</v>
          </cell>
          <cell r="AR9">
            <v>710.66</v>
          </cell>
          <cell r="AS9">
            <v>1421.32</v>
          </cell>
          <cell r="AT9">
            <v>1208.1199999999999</v>
          </cell>
          <cell r="AU9">
            <v>2025.38</v>
          </cell>
          <cell r="AV9">
            <v>724.87</v>
          </cell>
          <cell r="AW9">
            <v>1449.74</v>
          </cell>
          <cell r="AX9">
            <v>1232.28</v>
          </cell>
          <cell r="AY9">
            <v>2065.88</v>
          </cell>
          <cell r="AZ9">
            <v>739.37</v>
          </cell>
          <cell r="BA9">
            <v>1478.74</v>
          </cell>
          <cell r="BB9">
            <v>1256.93</v>
          </cell>
          <cell r="BC9">
            <v>2107.1999999999998</v>
          </cell>
        </row>
        <row r="10">
          <cell r="C10" t="str">
            <v>Excellus SB Plus Standard Platinum </v>
          </cell>
          <cell r="H10" t="str">
            <v>Copay</v>
          </cell>
          <cell r="I10" t="str">
            <v>N/A</v>
          </cell>
          <cell r="J10" t="str">
            <v>N/A</v>
          </cell>
          <cell r="K10">
            <v>2000</v>
          </cell>
          <cell r="L10">
            <v>4000</v>
          </cell>
          <cell r="M10" t="str">
            <v>N/A</v>
          </cell>
          <cell r="N10">
            <v>15</v>
          </cell>
          <cell r="O10">
            <v>35</v>
          </cell>
          <cell r="P10">
            <v>55</v>
          </cell>
          <cell r="Q10" t="str">
            <v>Lab: $35/ X-Ray: $35</v>
          </cell>
          <cell r="R10">
            <v>100</v>
          </cell>
          <cell r="S10">
            <v>100</v>
          </cell>
          <cell r="T10">
            <v>500</v>
          </cell>
          <cell r="U10">
            <v>100</v>
          </cell>
          <cell r="V10">
            <v>500</v>
          </cell>
          <cell r="W10">
            <v>35</v>
          </cell>
          <cell r="X10">
            <v>500</v>
          </cell>
          <cell r="Y10">
            <v>15</v>
          </cell>
          <cell r="Z10">
            <v>15</v>
          </cell>
          <cell r="AA10">
            <v>15</v>
          </cell>
          <cell r="AB10">
            <v>35</v>
          </cell>
          <cell r="AC10" t="str">
            <v>$25 Copay for up to 60 visits per contract year</v>
          </cell>
          <cell r="AD10" t="str">
            <v>Pediatric: $15 copay for one routine exam per year</v>
          </cell>
          <cell r="AE10" t="str">
            <v>Pediatric: Covered at 90% for one purchase per year</v>
          </cell>
          <cell r="AF10" t="str">
            <v>Covered at 90%</v>
          </cell>
          <cell r="AG10" t="str">
            <v>N/A</v>
          </cell>
          <cell r="AH10">
            <v>10</v>
          </cell>
          <cell r="AI10">
            <v>30</v>
          </cell>
          <cell r="AJ10">
            <v>60</v>
          </cell>
          <cell r="AK10" t="str">
            <v>Yes</v>
          </cell>
          <cell r="AL10" t="str">
            <v>N/A</v>
          </cell>
          <cell r="AM10">
            <v>10</v>
          </cell>
          <cell r="AN10">
            <v>725.51</v>
          </cell>
          <cell r="AO10">
            <v>1451.01</v>
          </cell>
          <cell r="AP10">
            <v>1233.3599999999999</v>
          </cell>
          <cell r="AQ10">
            <v>2067.69</v>
          </cell>
          <cell r="AR10">
            <v>740.02</v>
          </cell>
          <cell r="AS10">
            <v>1480.04</v>
          </cell>
          <cell r="AT10">
            <v>1258.03</v>
          </cell>
          <cell r="AU10">
            <v>2109.06</v>
          </cell>
          <cell r="AV10">
            <v>754.82</v>
          </cell>
          <cell r="AW10">
            <v>1509.64</v>
          </cell>
          <cell r="AX10">
            <v>1283.19</v>
          </cell>
          <cell r="AY10">
            <v>2151.2399999999998</v>
          </cell>
          <cell r="AZ10">
            <v>769.92</v>
          </cell>
          <cell r="BA10">
            <v>1539.84</v>
          </cell>
          <cell r="BB10">
            <v>1308.8599999999999</v>
          </cell>
          <cell r="BC10">
            <v>2194.27</v>
          </cell>
        </row>
        <row r="11">
          <cell r="C11" t="str">
            <v>Excellus SB Plus Standard Bronze </v>
          </cell>
          <cell r="H11" t="str">
            <v>HDHP</v>
          </cell>
          <cell r="I11">
            <v>4425</v>
          </cell>
          <cell r="J11">
            <v>8850</v>
          </cell>
          <cell r="K11">
            <v>8150</v>
          </cell>
          <cell r="L11">
            <v>16300</v>
          </cell>
          <cell r="M11">
            <v>0.5</v>
          </cell>
          <cell r="N11" t="str">
            <v>$0 first 3 visits; Covered at 50%, subject to deductible thereafter</v>
          </cell>
          <cell r="O11" t="str">
            <v>Covered at 50%, subject to deductible</v>
          </cell>
          <cell r="P11" t="str">
            <v>Covered at 50%, subject to deductible</v>
          </cell>
          <cell r="Q11" t="str">
            <v>Covered at 50%, subject to deductible</v>
          </cell>
          <cell r="R11" t="str">
            <v>Covered at 50%, subject to deductible</v>
          </cell>
          <cell r="S11" t="str">
            <v>Covered at 50%, subject to deductible</v>
          </cell>
          <cell r="T11" t="str">
            <v>Covered at 50%, subject to deductible</v>
          </cell>
          <cell r="U11" t="str">
            <v>Covered at 50%, subject to deductible</v>
          </cell>
          <cell r="V11" t="str">
            <v>Covered at 50%, subject to deductible</v>
          </cell>
          <cell r="W11" t="str">
            <v>Covered at 50%, subject to deductible</v>
          </cell>
          <cell r="X11" t="str">
            <v>Covered at 50%, subject to deductible</v>
          </cell>
          <cell r="Y11" t="str">
            <v>Covered at 50%, subject to deductible</v>
          </cell>
          <cell r="Z11" t="str">
            <v>Covered at 50%, subject to deductible</v>
          </cell>
          <cell r="AA11" t="str">
            <v>Covered at 50%, subject to deductible</v>
          </cell>
          <cell r="AB11" t="str">
            <v>Covered at 50%, subject to deductible</v>
          </cell>
          <cell r="AC11" t="str">
            <v>Covered at 50%, subject to deductible, for up to 60 visits per contract year</v>
          </cell>
          <cell r="AD11" t="str">
            <v>Pediatric: Covered at 50%, subject to deductible, for one routine exam per year</v>
          </cell>
          <cell r="AE11" t="str">
            <v>Pediatric: Covered at 50%, subject to deductible for one purchase per plan year</v>
          </cell>
          <cell r="AF11" t="str">
            <v>Covered at 50%, subject to deductible</v>
          </cell>
          <cell r="AG11" t="str">
            <v>Subject to plan deductible</v>
          </cell>
          <cell r="AH11">
            <v>10</v>
          </cell>
          <cell r="AI11">
            <v>35</v>
          </cell>
          <cell r="AJ11">
            <v>70</v>
          </cell>
          <cell r="AK11" t="str">
            <v>Yes</v>
          </cell>
          <cell r="AL11" t="str">
            <v>Embedded</v>
          </cell>
          <cell r="AM11" t="str">
            <v>Covered at 50%, subject to deductible</v>
          </cell>
          <cell r="AN11">
            <v>392.2</v>
          </cell>
          <cell r="AO11">
            <v>784.4</v>
          </cell>
          <cell r="AP11">
            <v>666.73</v>
          </cell>
          <cell r="AQ11">
            <v>1117.76</v>
          </cell>
          <cell r="AR11">
            <v>400.04</v>
          </cell>
          <cell r="AS11">
            <v>800.08</v>
          </cell>
          <cell r="AT11">
            <v>680.07</v>
          </cell>
          <cell r="AU11">
            <v>1140.1099999999999</v>
          </cell>
          <cell r="AV11">
            <v>408.04</v>
          </cell>
          <cell r="AW11">
            <v>816.08</v>
          </cell>
          <cell r="AX11">
            <v>693.67</v>
          </cell>
          <cell r="AY11">
            <v>1162.9100000000001</v>
          </cell>
          <cell r="AZ11">
            <v>416.2</v>
          </cell>
          <cell r="BA11">
            <v>832.4</v>
          </cell>
          <cell r="BB11">
            <v>707.54</v>
          </cell>
          <cell r="BC11">
            <v>1186.17</v>
          </cell>
        </row>
        <row r="12">
          <cell r="C12" t="str">
            <v>Excellus SB Plus Bronze 3 </v>
          </cell>
          <cell r="H12" t="str">
            <v>HDHP</v>
          </cell>
          <cell r="I12">
            <v>5000</v>
          </cell>
          <cell r="J12">
            <v>10000</v>
          </cell>
          <cell r="K12">
            <v>6550</v>
          </cell>
          <cell r="L12">
            <v>13100</v>
          </cell>
          <cell r="M12">
            <v>0.5</v>
          </cell>
          <cell r="N12" t="str">
            <v>Covered at 50%, subject to deductible</v>
          </cell>
          <cell r="O12" t="str">
            <v>Covered at 50%, subject to deductible</v>
          </cell>
          <cell r="P12" t="str">
            <v>Covered at 50%, subject to deductible</v>
          </cell>
          <cell r="Q12" t="str">
            <v>Covered at 50%, subject to deductible</v>
          </cell>
          <cell r="R12" t="str">
            <v>Covered at 50%, subject to deductible</v>
          </cell>
          <cell r="S12" t="str">
            <v>Covered at 50%, subject to deductible</v>
          </cell>
          <cell r="T12" t="str">
            <v>Covered at 50%, subject to deductible</v>
          </cell>
          <cell r="U12" t="str">
            <v>Covered at 50%, subject to deductible</v>
          </cell>
          <cell r="V12" t="str">
            <v>Covered at 50%, subject to deductible</v>
          </cell>
          <cell r="W12" t="str">
            <v>Covered at 50%, subject to deductible</v>
          </cell>
          <cell r="X12" t="str">
            <v>Covered at 50%, subject to deductible</v>
          </cell>
          <cell r="Y12" t="str">
            <v>Covered at 50%, subject to deductible</v>
          </cell>
          <cell r="Z12" t="str">
            <v>Covered at 50%, subject to deductible</v>
          </cell>
          <cell r="AA12" t="str">
            <v>Covered at 50%, subject to deductible</v>
          </cell>
          <cell r="AB12" t="str">
            <v>Covered at 50%, subject to deductible</v>
          </cell>
          <cell r="AC12" t="str">
            <v>Covered at 50%, subject to deductible, for up to 60 visits per contract year</v>
          </cell>
          <cell r="AD12" t="str">
            <v>Adult/ Pediatric: Covered at 50%, subject to deductible, for one routine exam per year</v>
          </cell>
          <cell r="AE12" t="str">
            <v>Adult: $60 allowance per year; Pediatric: Covered at 50%, subject to deductible, for one purchase per year</v>
          </cell>
          <cell r="AF12" t="str">
            <v>Covered at 50%, subject to deductible</v>
          </cell>
          <cell r="AG12" t="str">
            <v>Subject to plan deductible (except preventive drugs)</v>
          </cell>
          <cell r="AH12">
            <v>10</v>
          </cell>
          <cell r="AI12">
            <v>0.4</v>
          </cell>
          <cell r="AJ12">
            <v>0.5</v>
          </cell>
          <cell r="AK12" t="str">
            <v>Yes</v>
          </cell>
          <cell r="AL12" t="str">
            <v>Aggregate</v>
          </cell>
          <cell r="AM12" t="str">
            <v>Covered at 50%, subject to deductible</v>
          </cell>
          <cell r="AN12">
            <v>386.87</v>
          </cell>
          <cell r="AO12">
            <v>773.75</v>
          </cell>
          <cell r="AP12">
            <v>657.69</v>
          </cell>
          <cell r="AQ12">
            <v>1102.5899999999999</v>
          </cell>
          <cell r="AR12">
            <v>394.61</v>
          </cell>
          <cell r="AS12">
            <v>789.22</v>
          </cell>
          <cell r="AT12">
            <v>670.84</v>
          </cell>
          <cell r="AU12">
            <v>1124.6400000000001</v>
          </cell>
          <cell r="AV12">
            <v>402.5</v>
          </cell>
          <cell r="AW12">
            <v>805</v>
          </cell>
          <cell r="AX12">
            <v>684.25</v>
          </cell>
          <cell r="AY12">
            <v>1147.1300000000001</v>
          </cell>
          <cell r="AZ12">
            <v>410.55</v>
          </cell>
          <cell r="BA12">
            <v>821.1</v>
          </cell>
          <cell r="BB12">
            <v>697.94</v>
          </cell>
          <cell r="BC12">
            <v>1170.07</v>
          </cell>
        </row>
        <row r="13">
          <cell r="C13" t="str">
            <v>Excellus SB Plus Bronze 4 </v>
          </cell>
          <cell r="H13" t="str">
            <v>HDHP</v>
          </cell>
          <cell r="I13">
            <v>6750</v>
          </cell>
          <cell r="J13">
            <v>13500</v>
          </cell>
          <cell r="K13">
            <v>6750</v>
          </cell>
          <cell r="L13">
            <v>13500</v>
          </cell>
          <cell r="M13">
            <v>0</v>
          </cell>
          <cell r="N13" t="str">
            <v>Covered at 100%, subject to deductible</v>
          </cell>
          <cell r="O13" t="str">
            <v>Covered at 100%, subject to deductible</v>
          </cell>
          <cell r="P13" t="str">
            <v>Covered at 100%, subject to deductible</v>
          </cell>
          <cell r="Q13" t="str">
            <v>Covered at 100%, subject to deductible</v>
          </cell>
          <cell r="R13" t="str">
            <v>Covered at 100%, subject to deductible</v>
          </cell>
          <cell r="S13" t="str">
            <v>Covered at 100%, subject to deductible</v>
          </cell>
          <cell r="T13" t="str">
            <v>Covered at 100%, subject to deductible</v>
          </cell>
          <cell r="U13" t="str">
            <v>Covered at 100%, subject to deductible</v>
          </cell>
          <cell r="V13" t="str">
            <v>Covered at 100%, subject to deductible</v>
          </cell>
          <cell r="W13" t="str">
            <v>Covered at 100%, subject to deductible</v>
          </cell>
          <cell r="X13" t="str">
            <v>Covered at 100%, subject to deductible</v>
          </cell>
          <cell r="Y13" t="str">
            <v>Covered at 100%, subject to deductible</v>
          </cell>
          <cell r="Z13" t="str">
            <v>Covered at 100%, subject to deductible</v>
          </cell>
          <cell r="AA13" t="str">
            <v>Covered at 100%, subject to deductible</v>
          </cell>
          <cell r="AB13" t="str">
            <v>Covered at 100%, subject to deductible</v>
          </cell>
          <cell r="AC13" t="str">
            <v>Covered at 100%, subject to deductible, for up to 60 visits per contract year</v>
          </cell>
          <cell r="AD13" t="str">
            <v>Adult/ Pediatric: Covered at 100%, subject to deductible, for one routine exam per year</v>
          </cell>
          <cell r="AE13" t="str">
            <v>Adult: $60 allowance per year; Pediatric: Covered at 100%, subject to deductible, for one purchase per year</v>
          </cell>
          <cell r="AF13" t="str">
            <v>Covered at 100%, subject to deductible</v>
          </cell>
          <cell r="AG13" t="str">
            <v>Subject to plan deductible (except preventive drugs)</v>
          </cell>
          <cell r="AH13">
            <v>0</v>
          </cell>
          <cell r="AI13">
            <v>0</v>
          </cell>
          <cell r="AJ13">
            <v>0</v>
          </cell>
          <cell r="AK13" t="str">
            <v>Yes</v>
          </cell>
          <cell r="AL13" t="str">
            <v>Aggregate</v>
          </cell>
          <cell r="AM13" t="str">
            <v>Covered at 100%, subject to deductible</v>
          </cell>
          <cell r="AN13">
            <v>373.5</v>
          </cell>
          <cell r="AO13">
            <v>747.01</v>
          </cell>
          <cell r="AP13">
            <v>634.96</v>
          </cell>
          <cell r="AQ13">
            <v>1064.49</v>
          </cell>
          <cell r="AR13">
            <v>380.97</v>
          </cell>
          <cell r="AS13">
            <v>761.94</v>
          </cell>
          <cell r="AT13">
            <v>647.65</v>
          </cell>
          <cell r="AU13">
            <v>1085.76</v>
          </cell>
          <cell r="AV13">
            <v>388.59</v>
          </cell>
          <cell r="AW13">
            <v>777.18</v>
          </cell>
          <cell r="AX13">
            <v>660.6</v>
          </cell>
          <cell r="AY13">
            <v>1107.48</v>
          </cell>
          <cell r="AZ13">
            <v>396.36</v>
          </cell>
          <cell r="BA13">
            <v>792.72</v>
          </cell>
          <cell r="BB13">
            <v>673.81</v>
          </cell>
          <cell r="BC13">
            <v>1129.6300000000001</v>
          </cell>
        </row>
        <row r="14">
          <cell r="C14" t="str">
            <v>Excellus SB Plus Bronze 5</v>
          </cell>
          <cell r="H14" t="str">
            <v xml:space="preserve">Deductible </v>
          </cell>
          <cell r="I14">
            <v>5500</v>
          </cell>
          <cell r="J14">
            <v>11000</v>
          </cell>
          <cell r="K14">
            <v>6550</v>
          </cell>
          <cell r="L14">
            <v>13100</v>
          </cell>
          <cell r="M14">
            <v>0</v>
          </cell>
          <cell r="N14" t="str">
            <v>$30 Copay, subject to deductible</v>
          </cell>
          <cell r="O14" t="str">
            <v>$50 Copay, subject to deductible</v>
          </cell>
          <cell r="P14" t="str">
            <v>$50 Copay, subject to deductible</v>
          </cell>
          <cell r="Q14" t="str">
            <v>Lab: $30/ X-Ray: $50, both subject to deductible</v>
          </cell>
          <cell r="R14" t="str">
            <v>$350 Copay, subject to deductible</v>
          </cell>
          <cell r="S14" t="str">
            <v>$350 Copay, subject to deductible</v>
          </cell>
          <cell r="T14" t="str">
            <v>$500 Copay, subject to deductible</v>
          </cell>
          <cell r="U14" t="str">
            <v>$350 Copay, subject to deductible</v>
          </cell>
          <cell r="V14" t="str">
            <v>$500 Copay, subject to deductible</v>
          </cell>
          <cell r="W14" t="str">
            <v>$100 Copay, subject to deductible</v>
          </cell>
          <cell r="X14" t="str">
            <v>$500 Copay, subject to deductible</v>
          </cell>
          <cell r="Y14" t="str">
            <v>$30 Copay, subject to deductible</v>
          </cell>
          <cell r="Z14" t="str">
            <v>$50 Copay, subject to deductible</v>
          </cell>
          <cell r="AA14" t="str">
            <v>$30 Copay, subject to deductible</v>
          </cell>
          <cell r="AB14" t="str">
            <v>$50 Copay, subject to deductible</v>
          </cell>
          <cell r="AC14" t="str">
            <v>$50 Copay, subject to deductible, for up to 60 visits per contract year</v>
          </cell>
          <cell r="AD14" t="str">
            <v>Adult/ Pediatric: $50 Copay, subject to deductible, for one routine exam per year</v>
          </cell>
          <cell r="AE14" t="str">
            <v>Adult: $60 allowance per year; Pediatric: Covered at 50%, subject to deductible, for one purchase per year</v>
          </cell>
          <cell r="AF14" t="str">
            <v>Covered at 50%, subject to deductible</v>
          </cell>
          <cell r="AG14" t="str">
            <v>Subject to plan deductible (except preventive drugs)</v>
          </cell>
          <cell r="AH14">
            <v>10</v>
          </cell>
          <cell r="AI14">
            <v>35</v>
          </cell>
          <cell r="AJ14">
            <v>70</v>
          </cell>
          <cell r="AK14" t="str">
            <v>Yes</v>
          </cell>
          <cell r="AL14" t="str">
            <v>Aggregate</v>
          </cell>
          <cell r="AM14" t="str">
            <v>$10, subject to deductible</v>
          </cell>
          <cell r="AN14">
            <v>399.96</v>
          </cell>
          <cell r="AO14">
            <v>799.91</v>
          </cell>
          <cell r="AP14">
            <v>679.92</v>
          </cell>
          <cell r="AQ14">
            <v>1139.8800000000001</v>
          </cell>
          <cell r="AR14">
            <v>407.96</v>
          </cell>
          <cell r="AS14">
            <v>815.92</v>
          </cell>
          <cell r="AT14">
            <v>693.53</v>
          </cell>
          <cell r="AU14">
            <v>1162.69</v>
          </cell>
          <cell r="AV14">
            <v>416.12</v>
          </cell>
          <cell r="AW14">
            <v>832.24</v>
          </cell>
          <cell r="AX14">
            <v>707.4</v>
          </cell>
          <cell r="AY14">
            <v>1185.94</v>
          </cell>
          <cell r="AZ14">
            <v>424.44</v>
          </cell>
          <cell r="BA14">
            <v>848.88</v>
          </cell>
          <cell r="BB14">
            <v>721.55</v>
          </cell>
          <cell r="BC14">
            <v>1209.6500000000001</v>
          </cell>
        </row>
        <row r="15">
          <cell r="C15" t="str">
            <v>Excellus SB Plus Bronze 6</v>
          </cell>
          <cell r="H15" t="str">
            <v>Deductible</v>
          </cell>
          <cell r="I15">
            <v>4500</v>
          </cell>
          <cell r="J15">
            <v>9000</v>
          </cell>
          <cell r="K15">
            <v>6750</v>
          </cell>
          <cell r="L15">
            <v>13500</v>
          </cell>
          <cell r="M15">
            <v>0.25</v>
          </cell>
          <cell r="N15" t="str">
            <v>Covered at 75%, subject to deductible</v>
          </cell>
          <cell r="O15" t="str">
            <v>Covered at 75%, subject to deductible</v>
          </cell>
          <cell r="P15" t="str">
            <v>Covered at 75%, subject to deductible</v>
          </cell>
          <cell r="Q15" t="str">
            <v>Covered at 75%, subject to deductible</v>
          </cell>
          <cell r="R15" t="str">
            <v>Covered at 75%, subject to deductible</v>
          </cell>
          <cell r="S15" t="str">
            <v>Covered at 75%, subject to deductible</v>
          </cell>
          <cell r="T15" t="str">
            <v>Covered at 75%, subject to deductible</v>
          </cell>
          <cell r="U15" t="str">
            <v>Covered at 75%, subject to deductible</v>
          </cell>
          <cell r="V15" t="str">
            <v>Covered at 75%, subject to deductible</v>
          </cell>
          <cell r="W15" t="str">
            <v>Covered at 75%, subject to deductible</v>
          </cell>
          <cell r="X15" t="str">
            <v>Covered at 75%, subject to deductible</v>
          </cell>
          <cell r="Y15" t="str">
            <v>Covered at 75%, subject to deductible</v>
          </cell>
          <cell r="Z15" t="str">
            <v>Covered at 75%, subject to deductible</v>
          </cell>
          <cell r="AA15" t="str">
            <v>Covered at 75%, subject to deductible</v>
          </cell>
          <cell r="AB15" t="str">
            <v>Covered at 75%, subject to deductible</v>
          </cell>
          <cell r="AC15" t="str">
            <v>Covered at 75%, subject to deductible, for up to 60 visits per contract year</v>
          </cell>
          <cell r="AD15" t="str">
            <v>Adult/ Pediatric: Covered at 75%, subject to deductible, for one routine exam per year</v>
          </cell>
          <cell r="AE15" t="str">
            <v>Adult: $60 allowance per year; Pediatric: Covered at 50%, subject to deductible, for one purchase per year</v>
          </cell>
          <cell r="AF15" t="str">
            <v>Covered at 50%, subject to deductible</v>
          </cell>
          <cell r="AG15" t="str">
            <v>Subject to plan deductible (except preventive drugs)</v>
          </cell>
          <cell r="AH15">
            <v>5</v>
          </cell>
          <cell r="AI15">
            <v>45</v>
          </cell>
          <cell r="AJ15">
            <v>90</v>
          </cell>
          <cell r="AK15" t="str">
            <v>Yes</v>
          </cell>
          <cell r="AL15" t="str">
            <v>Aggregate</v>
          </cell>
          <cell r="AM15" t="str">
            <v>Covered at 75%, subject to deductible</v>
          </cell>
          <cell r="AN15">
            <v>406</v>
          </cell>
          <cell r="AO15">
            <v>812.01</v>
          </cell>
          <cell r="AP15">
            <v>690.21</v>
          </cell>
          <cell r="AQ15">
            <v>1157.1099999999999</v>
          </cell>
          <cell r="AR15">
            <v>414.12</v>
          </cell>
          <cell r="AS15">
            <v>828.24</v>
          </cell>
          <cell r="AT15">
            <v>704</v>
          </cell>
          <cell r="AU15">
            <v>1180.24</v>
          </cell>
          <cell r="AV15">
            <v>422.4</v>
          </cell>
          <cell r="AW15">
            <v>844.8</v>
          </cell>
          <cell r="AX15">
            <v>718.08</v>
          </cell>
          <cell r="AY15">
            <v>1203.8399999999999</v>
          </cell>
          <cell r="AZ15">
            <v>430.85</v>
          </cell>
          <cell r="BA15">
            <v>861.7</v>
          </cell>
          <cell r="BB15">
            <v>732.45</v>
          </cell>
          <cell r="BC15">
            <v>1227.92</v>
          </cell>
        </row>
        <row r="16">
          <cell r="C16" t="str">
            <v>Excellus SB Plus Gold 6 </v>
          </cell>
          <cell r="H16" t="str">
            <v>HDHP</v>
          </cell>
          <cell r="I16">
            <v>1400</v>
          </cell>
          <cell r="J16">
            <v>2800</v>
          </cell>
          <cell r="K16">
            <v>2800</v>
          </cell>
          <cell r="L16">
            <v>5600</v>
          </cell>
          <cell r="M16">
            <v>0.15</v>
          </cell>
          <cell r="N16" t="str">
            <v>Covered at 85%, subject to deductible</v>
          </cell>
          <cell r="O16" t="str">
            <v>Covered at 85%, subject to deductible</v>
          </cell>
          <cell r="P16" t="str">
            <v>Covered at 85%, subject to deductible</v>
          </cell>
          <cell r="Q16" t="str">
            <v>Covered at 85%, subject to deductible</v>
          </cell>
          <cell r="R16" t="str">
            <v>Covered at 85%, subject to deductible</v>
          </cell>
          <cell r="S16" t="str">
            <v>Covered at 85%, subject to deductible</v>
          </cell>
          <cell r="T16" t="str">
            <v>Covered at 85%, subject to deductible</v>
          </cell>
          <cell r="U16" t="str">
            <v>Covered at 85%, subject to deductible</v>
          </cell>
          <cell r="V16" t="str">
            <v>Covered at 85%, subject to deductible</v>
          </cell>
          <cell r="W16" t="str">
            <v>Covered at 85%, subject to deductible</v>
          </cell>
          <cell r="X16" t="str">
            <v>Covered at 85%, subject to deductible</v>
          </cell>
          <cell r="Y16" t="str">
            <v>Covered at 85%, subject to deductible</v>
          </cell>
          <cell r="Z16" t="str">
            <v>Covered at 85%, subject to deductible</v>
          </cell>
          <cell r="AA16" t="str">
            <v>Covered at 85%, subject to deductible</v>
          </cell>
          <cell r="AB16" t="str">
            <v>Covered at 85%, subject to deductible</v>
          </cell>
          <cell r="AC16" t="str">
            <v>Covered at 85%, subject to deductible, for up to 60 visits per contract year</v>
          </cell>
          <cell r="AD16" t="str">
            <v>Adult/ Pediatric: Covered at 85%, subject to deductible, for one routine exam per year</v>
          </cell>
          <cell r="AE16" t="str">
            <v>Adult: $60 allowance per year; Pediatric: Covered at 50%, subject to deductible, for one purchase per year</v>
          </cell>
          <cell r="AF16" t="str">
            <v>Covered at 50%, subject to deductible</v>
          </cell>
          <cell r="AG16" t="str">
            <v>Subject to plan deductible (except preventive drugs)</v>
          </cell>
          <cell r="AH16">
            <v>5</v>
          </cell>
          <cell r="AI16">
            <v>35</v>
          </cell>
          <cell r="AJ16">
            <v>70</v>
          </cell>
          <cell r="AK16" t="str">
            <v>Yes</v>
          </cell>
          <cell r="AL16" t="str">
            <v>Aggregate</v>
          </cell>
          <cell r="AM16" t="str">
            <v>Covered at 85%, subject to deductible</v>
          </cell>
          <cell r="AN16">
            <v>590.24</v>
          </cell>
          <cell r="AO16">
            <v>1180.47</v>
          </cell>
          <cell r="AP16">
            <v>1003.4</v>
          </cell>
          <cell r="AQ16">
            <v>1682.17</v>
          </cell>
          <cell r="AR16">
            <v>602.04</v>
          </cell>
          <cell r="AS16">
            <v>1204.08</v>
          </cell>
          <cell r="AT16">
            <v>1023.47</v>
          </cell>
          <cell r="AU16">
            <v>1715.81</v>
          </cell>
          <cell r="AV16">
            <v>614.08000000000004</v>
          </cell>
          <cell r="AW16">
            <v>1228.1600000000001</v>
          </cell>
          <cell r="AX16">
            <v>1043.94</v>
          </cell>
          <cell r="AY16">
            <v>1750.13</v>
          </cell>
          <cell r="AZ16">
            <v>626.36</v>
          </cell>
          <cell r="BA16">
            <v>1252.72</v>
          </cell>
          <cell r="BB16">
            <v>1064.81</v>
          </cell>
          <cell r="BC16">
            <v>1785.13</v>
          </cell>
        </row>
        <row r="17">
          <cell r="C17" t="str">
            <v>Excellus SB Plus Silver 2 </v>
          </cell>
          <cell r="H17" t="str">
            <v>HDHP</v>
          </cell>
          <cell r="I17">
            <v>2250</v>
          </cell>
          <cell r="J17">
            <v>4500</v>
          </cell>
          <cell r="K17">
            <v>6750</v>
          </cell>
          <cell r="L17">
            <v>13500</v>
          </cell>
          <cell r="M17">
            <v>0.25</v>
          </cell>
          <cell r="N17" t="str">
            <v>Covered at 75%, subject to deductible</v>
          </cell>
          <cell r="O17" t="str">
            <v>Covered at 75%, subject to deductible</v>
          </cell>
          <cell r="P17" t="str">
            <v>Covered at 75%, subject to deductible</v>
          </cell>
          <cell r="Q17" t="str">
            <v>Covered at 75%, subject to deductible</v>
          </cell>
          <cell r="R17" t="str">
            <v>Covered at 75%, subject to deductible</v>
          </cell>
          <cell r="S17" t="str">
            <v>Covered at 75%, subject to deductible</v>
          </cell>
          <cell r="T17" t="str">
            <v>Covered at 75%, subject to deductible</v>
          </cell>
          <cell r="U17" t="str">
            <v>Covered at 75%, subject to deductible</v>
          </cell>
          <cell r="V17" t="str">
            <v>Covered at 75%, subject to deductible</v>
          </cell>
          <cell r="W17" t="str">
            <v>Covered at 75%, subject to deductible</v>
          </cell>
          <cell r="X17" t="str">
            <v>Covered at 75%, subject to deductible</v>
          </cell>
          <cell r="Y17" t="str">
            <v>Covered at 75%, subject to deductible</v>
          </cell>
          <cell r="Z17" t="str">
            <v>Covered at 75%, subject to deductible</v>
          </cell>
          <cell r="AA17" t="str">
            <v>Covered at 75%, subject to deductible</v>
          </cell>
          <cell r="AB17" t="str">
            <v>Covered at 75%, subject to deductible</v>
          </cell>
          <cell r="AC17" t="str">
            <v>Covered at 75%, subject to deductible, for up to 60 visits per contract year</v>
          </cell>
          <cell r="AD17" t="str">
            <v>Adult/ Pediatric: Covered at 75%, subject to deductible, for one routine exam per year</v>
          </cell>
          <cell r="AE17" t="str">
            <v>Adult: $60 allowance per year; Pediatric: Covered at 50%, subject to deductible, for one purchase per year</v>
          </cell>
          <cell r="AF17" t="str">
            <v>Covered at 50%, subject to deductible</v>
          </cell>
          <cell r="AG17" t="str">
            <v>Subject to plan deductible (except preventive drugs)</v>
          </cell>
          <cell r="AH17">
            <v>5</v>
          </cell>
          <cell r="AI17">
            <v>45</v>
          </cell>
          <cell r="AJ17">
            <v>90</v>
          </cell>
          <cell r="AK17" t="str">
            <v>Yes</v>
          </cell>
          <cell r="AL17" t="str">
            <v>Aggregate</v>
          </cell>
          <cell r="AM17" t="str">
            <v>Covered at 75%, subject to deductible</v>
          </cell>
          <cell r="AN17">
            <v>488.37</v>
          </cell>
          <cell r="AO17">
            <v>976.74</v>
          </cell>
          <cell r="AP17">
            <v>830.22</v>
          </cell>
          <cell r="AQ17">
            <v>1391.85</v>
          </cell>
          <cell r="AR17">
            <v>498.14</v>
          </cell>
          <cell r="AS17">
            <v>996.28</v>
          </cell>
          <cell r="AT17">
            <v>946.84</v>
          </cell>
          <cell r="AU17">
            <v>1419.7</v>
          </cell>
          <cell r="AV17">
            <v>508.1</v>
          </cell>
          <cell r="AW17">
            <v>1016.2</v>
          </cell>
          <cell r="AX17">
            <v>863.77</v>
          </cell>
          <cell r="AY17">
            <v>1448.09</v>
          </cell>
          <cell r="AZ17">
            <v>518.26</v>
          </cell>
          <cell r="BA17">
            <v>1036.52</v>
          </cell>
          <cell r="BB17">
            <v>881.04</v>
          </cell>
          <cell r="BC17">
            <v>1477.04</v>
          </cell>
        </row>
        <row r="18">
          <cell r="C18" t="str">
            <v>Excellus SB Plus Silver 4 </v>
          </cell>
          <cell r="H18" t="str">
            <v>HDHP</v>
          </cell>
          <cell r="I18">
            <v>2750</v>
          </cell>
          <cell r="J18">
            <v>5500</v>
          </cell>
          <cell r="K18">
            <v>6750</v>
          </cell>
          <cell r="L18">
            <v>13500</v>
          </cell>
          <cell r="M18">
            <v>0.15</v>
          </cell>
          <cell r="N18" t="str">
            <v>Covered at 85%, subject to deductible</v>
          </cell>
          <cell r="O18" t="str">
            <v>Covered at 85%, subject to deductible</v>
          </cell>
          <cell r="P18" t="str">
            <v>Covered at 85%, subject to deductible</v>
          </cell>
          <cell r="Q18" t="str">
            <v>Covered at 85%, subject to deductible</v>
          </cell>
          <cell r="R18" t="str">
            <v>Covered at 85%, subject to deductible</v>
          </cell>
          <cell r="S18" t="str">
            <v>Covered at 85%, subject to deductible</v>
          </cell>
          <cell r="T18" t="str">
            <v>Covered at 85%, subject to deductible</v>
          </cell>
          <cell r="U18" t="str">
            <v>Covered at 85%, subject to deductible</v>
          </cell>
          <cell r="V18" t="str">
            <v>Covered at 85%, subject to deductible</v>
          </cell>
          <cell r="W18" t="str">
            <v>Covered at 85%, subject to deductible</v>
          </cell>
          <cell r="X18" t="str">
            <v>Covered at 85%, subject to deductible</v>
          </cell>
          <cell r="Y18" t="str">
            <v>Covered at 85%, subject to deductible</v>
          </cell>
          <cell r="Z18" t="str">
            <v>Covered at 85%, subject to deductible</v>
          </cell>
          <cell r="AA18" t="str">
            <v>Covered at 85%, subject to deductible</v>
          </cell>
          <cell r="AB18" t="str">
            <v>Covered at 85%, subject to deductible</v>
          </cell>
          <cell r="AC18" t="str">
            <v>Covered at 85%, subject to deductible, for up to 60 visits per contract year</v>
          </cell>
          <cell r="AD18" t="str">
            <v>Adult/ Pediatric: Covered at 85%, subject to deductible, for one routine exam per year</v>
          </cell>
          <cell r="AE18" t="str">
            <v>Adult: $60 allowance per year; Pediatric: Covered at 50%, subject to deductible, for one purchase per year</v>
          </cell>
          <cell r="AF18" t="str">
            <v>Covered at 50%, subject to deductible</v>
          </cell>
          <cell r="AG18" t="str">
            <v>Subject to plan deductible (except preventive drugs)</v>
          </cell>
          <cell r="AH18">
            <v>5</v>
          </cell>
          <cell r="AI18">
            <v>35</v>
          </cell>
          <cell r="AJ18">
            <v>70</v>
          </cell>
          <cell r="AK18" t="str">
            <v>Yes</v>
          </cell>
          <cell r="AL18" t="str">
            <v>Aggregate</v>
          </cell>
          <cell r="AM18" t="str">
            <v>Covered at 85%, subject to deductible</v>
          </cell>
          <cell r="AN18">
            <v>482.57</v>
          </cell>
          <cell r="AO18">
            <v>965.14</v>
          </cell>
          <cell r="AP18">
            <v>820.37</v>
          </cell>
          <cell r="AQ18">
            <v>1375.32</v>
          </cell>
          <cell r="AR18">
            <v>492.22</v>
          </cell>
          <cell r="AS18">
            <v>984.44</v>
          </cell>
          <cell r="AT18">
            <v>836.77</v>
          </cell>
          <cell r="AU18">
            <v>1402.83</v>
          </cell>
          <cell r="AV18">
            <v>502.06</v>
          </cell>
          <cell r="AW18">
            <v>1004.12</v>
          </cell>
          <cell r="AX18">
            <v>853.5</v>
          </cell>
          <cell r="AY18">
            <v>1430.87</v>
          </cell>
          <cell r="AZ18">
            <v>512.1</v>
          </cell>
          <cell r="BA18">
            <v>1024.2</v>
          </cell>
          <cell r="BB18">
            <v>870.57</v>
          </cell>
          <cell r="BC18">
            <v>1459.49</v>
          </cell>
        </row>
        <row r="19">
          <cell r="C19" t="str">
            <v>Excellus SB Plus Silver 14</v>
          </cell>
          <cell r="H19" t="str">
            <v>HDHP</v>
          </cell>
          <cell r="I19">
            <v>2800</v>
          </cell>
          <cell r="J19">
            <v>5600</v>
          </cell>
          <cell r="K19">
            <v>6550</v>
          </cell>
          <cell r="L19">
            <v>13100</v>
          </cell>
          <cell r="M19">
            <v>0.2</v>
          </cell>
          <cell r="N19" t="str">
            <v>Covered at 80%, subject to deductible</v>
          </cell>
          <cell r="O19" t="str">
            <v>Covered at 80%, subject to deductible</v>
          </cell>
          <cell r="P19" t="str">
            <v>Covered at 80%, subject to deductible</v>
          </cell>
          <cell r="Q19" t="str">
            <v>Covered at 80%, subject to deductible</v>
          </cell>
          <cell r="R19" t="str">
            <v>Covered at 80%, subject to deductible</v>
          </cell>
          <cell r="S19" t="str">
            <v>Covered at 80%, subject to deductible</v>
          </cell>
          <cell r="T19" t="str">
            <v>Covered at 80%, subject to deductible</v>
          </cell>
          <cell r="U19" t="str">
            <v>Covered at 80%, subject to deductible</v>
          </cell>
          <cell r="V19" t="str">
            <v>Covered at 80%, subject to deductible</v>
          </cell>
          <cell r="W19" t="str">
            <v>Covered at 80%, subject to deductible</v>
          </cell>
          <cell r="X19" t="str">
            <v>Covered at 80%, subject to deductible</v>
          </cell>
          <cell r="Y19" t="str">
            <v>Covered at 80%, subject to deductible</v>
          </cell>
          <cell r="Z19" t="str">
            <v>Covered at 80%, subject to deductible</v>
          </cell>
          <cell r="AA19" t="str">
            <v>Covered at 80%, subject to deductible</v>
          </cell>
          <cell r="AB19" t="str">
            <v>Covered at 80%, subject to deductible</v>
          </cell>
          <cell r="AC19" t="str">
            <v>Covered at 80%, subject to deductible, for up to 60 visits per contract year</v>
          </cell>
          <cell r="AD19" t="str">
            <v>Adult/ Pediatric: Covered at 80%, subject to deductible, for one routine exam per year</v>
          </cell>
          <cell r="AE19" t="str">
            <v>Adult: $60 allowance per year; Pediatric: Covered at 50%, subject to deductible, for one purchase per year</v>
          </cell>
          <cell r="AF19" t="str">
            <v>Covered at 50%, subject to deductible</v>
          </cell>
          <cell r="AG19" t="str">
            <v>Subject to plan deductible (except preventive drugs)</v>
          </cell>
          <cell r="AH19">
            <v>5</v>
          </cell>
          <cell r="AI19">
            <v>45</v>
          </cell>
          <cell r="AJ19">
            <v>90</v>
          </cell>
          <cell r="AK19" t="str">
            <v>Yes</v>
          </cell>
          <cell r="AL19" t="str">
            <v>Aggregate</v>
          </cell>
          <cell r="AM19" t="str">
            <v>Covered at 80%, subject to deductible</v>
          </cell>
          <cell r="AN19">
            <v>485.6</v>
          </cell>
          <cell r="AO19">
            <v>971.19</v>
          </cell>
          <cell r="AP19">
            <v>825.51</v>
          </cell>
          <cell r="AQ19">
            <v>1383.96</v>
          </cell>
          <cell r="AR19">
            <v>495.31</v>
          </cell>
          <cell r="AS19">
            <v>990.62</v>
          </cell>
          <cell r="AT19">
            <v>842.03</v>
          </cell>
          <cell r="AU19">
            <v>1411.63</v>
          </cell>
          <cell r="AV19">
            <v>505.22</v>
          </cell>
          <cell r="AW19">
            <v>1010.44</v>
          </cell>
          <cell r="AX19">
            <v>858.87</v>
          </cell>
          <cell r="AY19">
            <v>1439.88</v>
          </cell>
          <cell r="AZ19">
            <v>515.32000000000005</v>
          </cell>
          <cell r="BA19">
            <v>1030.6400000000001</v>
          </cell>
          <cell r="BB19">
            <v>876.04</v>
          </cell>
          <cell r="BC19">
            <v>1468.66</v>
          </cell>
        </row>
        <row r="20">
          <cell r="C20" t="str">
            <v>Excellus SB Plus Standard Bronze HSA </v>
          </cell>
          <cell r="H20" t="str">
            <v>Deductible</v>
          </cell>
          <cell r="I20">
            <v>5500</v>
          </cell>
          <cell r="J20">
            <v>11000</v>
          </cell>
          <cell r="K20">
            <v>6550</v>
          </cell>
          <cell r="L20">
            <v>13100</v>
          </cell>
          <cell r="M20">
            <v>0.5</v>
          </cell>
          <cell r="N20" t="str">
            <v>Covered at 50%, subject to deductible</v>
          </cell>
          <cell r="O20" t="str">
            <v>Covered at 50%, subject to deductible</v>
          </cell>
          <cell r="P20" t="str">
            <v>Covered at 50%, subject to deductible</v>
          </cell>
          <cell r="Q20" t="str">
            <v>Covered at 50%, subject to deductible</v>
          </cell>
          <cell r="R20" t="str">
            <v>Covered at 50%, subject to deductible</v>
          </cell>
          <cell r="S20" t="str">
            <v>Covered at 50%, subject to deductible</v>
          </cell>
          <cell r="T20" t="str">
            <v>Covered at 50%, subject to deductible</v>
          </cell>
          <cell r="U20" t="str">
            <v>Covered at 50%, subject to deductible</v>
          </cell>
          <cell r="V20" t="str">
            <v>Covered at 50%, subject to deductible</v>
          </cell>
          <cell r="W20" t="str">
            <v>Covered at 50%, subject to deductible</v>
          </cell>
          <cell r="X20" t="str">
            <v>Covered at 50%, subject to deductible</v>
          </cell>
          <cell r="Y20" t="str">
            <v>Covered at 50%, subject to deductible</v>
          </cell>
          <cell r="Z20" t="str">
            <v>Covered at 50%, subject to deductible</v>
          </cell>
          <cell r="AA20" t="str">
            <v>Covered at 50%, subject to deductible</v>
          </cell>
          <cell r="AB20" t="str">
            <v>Covered at 50%, subject to deductible</v>
          </cell>
          <cell r="AC20" t="str">
            <v>Covered at 50%, subject to deductible, for up to 60 visits per contract year</v>
          </cell>
          <cell r="AD20" t="str">
            <v>Pediatric: Covered at 50%, subject to deductible, for one routine exam per year</v>
          </cell>
          <cell r="AE20" t="str">
            <v>Pediatric: Covered at 50%, subject to deductible for one purchase per plan year</v>
          </cell>
          <cell r="AF20" t="str">
            <v>Covered at 50%, subject to deductible</v>
          </cell>
          <cell r="AG20" t="str">
            <v>Subject to plan deductible</v>
          </cell>
          <cell r="AH20">
            <v>10</v>
          </cell>
          <cell r="AI20">
            <v>35</v>
          </cell>
          <cell r="AJ20">
            <v>70</v>
          </cell>
          <cell r="AK20" t="str">
            <v>Yes</v>
          </cell>
          <cell r="AL20" t="str">
            <v>Embedded</v>
          </cell>
          <cell r="AM20" t="str">
            <v>Covered at 50%, subject to deductible</v>
          </cell>
          <cell r="AN20">
            <v>389.76</v>
          </cell>
          <cell r="AO20">
            <v>779.53</v>
          </cell>
          <cell r="AP20">
            <v>662.6</v>
          </cell>
          <cell r="AQ20">
            <v>1110.83</v>
          </cell>
          <cell r="AR20">
            <v>397.56</v>
          </cell>
          <cell r="AS20">
            <v>795.12</v>
          </cell>
          <cell r="AT20">
            <v>675.85</v>
          </cell>
          <cell r="AU20">
            <v>1133.05</v>
          </cell>
          <cell r="AV20">
            <v>405.51</v>
          </cell>
          <cell r="AW20">
            <v>811.02</v>
          </cell>
          <cell r="AX20">
            <v>689.37</v>
          </cell>
          <cell r="AY20">
            <v>1155.7</v>
          </cell>
          <cell r="AZ20">
            <v>413.62</v>
          </cell>
          <cell r="BA20">
            <v>827.24</v>
          </cell>
          <cell r="BB20">
            <v>703.15</v>
          </cell>
          <cell r="BC20">
            <v>1178.82</v>
          </cell>
        </row>
        <row r="21">
          <cell r="C21" t="str">
            <v>Excellus Healthy NY EPO</v>
          </cell>
          <cell r="H21" t="str">
            <v>Hybrid</v>
          </cell>
          <cell r="I21">
            <v>600</v>
          </cell>
          <cell r="J21">
            <v>1200</v>
          </cell>
          <cell r="K21">
            <v>4000</v>
          </cell>
          <cell r="L21">
            <v>8000</v>
          </cell>
          <cell r="M21">
            <v>0</v>
          </cell>
          <cell r="N21" t="str">
            <v>$25 Copay, subject to deductible</v>
          </cell>
          <cell r="O21" t="str">
            <v>$40 Copay, subject to deductible</v>
          </cell>
          <cell r="P21" t="str">
            <v>$60 Copay, subject to deductible</v>
          </cell>
          <cell r="Q21" t="str">
            <v>Lab: $40/ X-Ray: $40, subject to deductible</v>
          </cell>
          <cell r="R21" t="str">
            <v>$150 Copay, subject to deductible</v>
          </cell>
          <cell r="S21" t="str">
            <v>$150 Copay, subject to deductible</v>
          </cell>
          <cell r="T21" t="str">
            <v>$1,000 Copay, subject to deductible</v>
          </cell>
          <cell r="U21" t="str">
            <v>$100 Copay, subject to deductible</v>
          </cell>
          <cell r="V21" t="str">
            <v>$1,000 Copay, subject to deductible</v>
          </cell>
          <cell r="W21" t="str">
            <v>$40 Copay, subject to deductible</v>
          </cell>
          <cell r="X21" t="str">
            <v>$1,000 Copay, subject to deductible</v>
          </cell>
          <cell r="Y21" t="str">
            <v>$25 Copay, subject to deductible</v>
          </cell>
          <cell r="Z21" t="str">
            <v>$25 Copay, subject to deductible</v>
          </cell>
          <cell r="AA21" t="str">
            <v>$25 Copay, subject to deductible</v>
          </cell>
          <cell r="AB21" t="str">
            <v>$40 Copay, subject to deductible</v>
          </cell>
          <cell r="AC21" t="str">
            <v>$30 Copay, subject to deductible, for up to 60 visits per contract year</v>
          </cell>
          <cell r="AD21" t="str">
            <v>Pediatric: $25 copay, subject to deductible, for one routine exam per year</v>
          </cell>
          <cell r="AE21" t="str">
            <v>Pediatric: Covered at 80%, subject to deductible for one purchase per plan year</v>
          </cell>
          <cell r="AF21" t="str">
            <v>Covered at 80%, subject to deductible</v>
          </cell>
          <cell r="AG21" t="str">
            <v>N/A</v>
          </cell>
          <cell r="AH21">
            <v>10</v>
          </cell>
          <cell r="AI21">
            <v>35</v>
          </cell>
          <cell r="AJ21">
            <v>70</v>
          </cell>
          <cell r="AK21" t="str">
            <v>Yes</v>
          </cell>
          <cell r="AL21" t="str">
            <v>Embedded</v>
          </cell>
          <cell r="AM21" t="str">
            <v>$10, subject to deductible</v>
          </cell>
          <cell r="AN21">
            <v>398.46</v>
          </cell>
          <cell r="AO21">
            <v>796.92</v>
          </cell>
          <cell r="AP21">
            <v>677.39</v>
          </cell>
          <cell r="AQ21">
            <v>1135.6199999999999</v>
          </cell>
          <cell r="AR21">
            <v>406.43</v>
          </cell>
          <cell r="AS21">
            <v>812.86</v>
          </cell>
          <cell r="AT21">
            <v>690.93</v>
          </cell>
          <cell r="AU21">
            <v>1158.33</v>
          </cell>
          <cell r="AV21">
            <v>414.56</v>
          </cell>
          <cell r="AW21">
            <v>829.12</v>
          </cell>
          <cell r="AX21">
            <v>704.75</v>
          </cell>
          <cell r="AY21">
            <v>1181.5</v>
          </cell>
          <cell r="AZ21">
            <v>422.85</v>
          </cell>
          <cell r="BA21">
            <v>845.7</v>
          </cell>
          <cell r="BB21">
            <v>718.85</v>
          </cell>
          <cell r="BC21">
            <v>1205.1199999999999</v>
          </cell>
        </row>
        <row r="22">
          <cell r="C22" t="str">
            <v>Excellus SB Plus Gold 13</v>
          </cell>
          <cell r="H22" t="str">
            <v>Hybrid</v>
          </cell>
          <cell r="I22">
            <v>850</v>
          </cell>
          <cell r="J22">
            <v>1700</v>
          </cell>
          <cell r="K22">
            <v>7000</v>
          </cell>
          <cell r="L22">
            <v>14000</v>
          </cell>
          <cell r="M22">
            <v>0.2</v>
          </cell>
          <cell r="N22" t="str">
            <v>$15 Copay, subject to deductible</v>
          </cell>
          <cell r="O22" t="str">
            <v>$25 Copay, subject to deductible</v>
          </cell>
          <cell r="P22" t="str">
            <v>$25 Copay, subject to deductible</v>
          </cell>
          <cell r="Q22" t="str">
            <v>Lab: $15/ X-Ray: $25, subject to deductible</v>
          </cell>
          <cell r="R22" t="str">
            <v>$200 Copay, subject to deductible</v>
          </cell>
          <cell r="S22" t="str">
            <v>$200 Copay, subject to deductible</v>
          </cell>
          <cell r="T22" t="str">
            <v>Covered at 80%, subject to deductible</v>
          </cell>
          <cell r="U22" t="str">
            <v>Covered at 80%, subject to deductible</v>
          </cell>
          <cell r="V22" t="str">
            <v>Covered at 80%, subject to deductible</v>
          </cell>
          <cell r="W22" t="str">
            <v>$100 Copay, subject to deductible</v>
          </cell>
          <cell r="X22" t="str">
            <v>Covered at 80%, subject to deductible</v>
          </cell>
          <cell r="Y22" t="str">
            <v>$15 Copay, subject to deductible</v>
          </cell>
          <cell r="Z22" t="str">
            <v>$25 Copay, subject to deductible</v>
          </cell>
          <cell r="AA22" t="str">
            <v>$15 Copay, subject to deductible</v>
          </cell>
          <cell r="AB22" t="str">
            <v>$25 Copay, subject to deductible</v>
          </cell>
          <cell r="AC22" t="str">
            <v>$25 Copay, subject to deductible, for up to 60 visits per contract year</v>
          </cell>
          <cell r="AD22" t="str">
            <v>Adult/ Pediatric: $25 Copay, subject to deductible, for one routine exam per year</v>
          </cell>
          <cell r="AE22" t="str">
            <v>Adult: $60 allowance per year; Pediatric: Covered at 50%, subject to deductible, for one purchase per year</v>
          </cell>
          <cell r="AF22" t="str">
            <v>Covered at 50%, subject to deductible</v>
          </cell>
          <cell r="AG22" t="str">
            <v>N/A</v>
          </cell>
          <cell r="AH22">
            <v>5</v>
          </cell>
          <cell r="AI22">
            <v>25</v>
          </cell>
          <cell r="AJ22">
            <v>50</v>
          </cell>
          <cell r="AK22" t="str">
            <v>Yes</v>
          </cell>
          <cell r="AL22" t="str">
            <v>Embedded</v>
          </cell>
          <cell r="AM22" t="str">
            <v>$10, subject to deductible</v>
          </cell>
          <cell r="AN22">
            <v>612.88</v>
          </cell>
          <cell r="AO22">
            <v>1225.76</v>
          </cell>
          <cell r="AP22">
            <v>1041.8900000000001</v>
          </cell>
          <cell r="AQ22">
            <v>1746.7</v>
          </cell>
          <cell r="AR22">
            <v>625.14</v>
          </cell>
          <cell r="AS22">
            <v>1250.28</v>
          </cell>
          <cell r="AT22">
            <v>1062.74</v>
          </cell>
          <cell r="AU22">
            <v>1781.65</v>
          </cell>
          <cell r="AV22">
            <v>637.64</v>
          </cell>
          <cell r="AW22">
            <v>1275.28</v>
          </cell>
          <cell r="AX22">
            <v>1083.99</v>
          </cell>
          <cell r="AY22">
            <v>1817.27</v>
          </cell>
          <cell r="AZ22">
            <v>650.39</v>
          </cell>
          <cell r="BA22">
            <v>1300.78</v>
          </cell>
          <cell r="BB22">
            <v>1105.6600000000001</v>
          </cell>
          <cell r="BC22">
            <v>1853.61</v>
          </cell>
        </row>
        <row r="23">
          <cell r="C23" t="str">
            <v>Excellus SB Plus Gold 14</v>
          </cell>
          <cell r="H23" t="str">
            <v>Hybrid</v>
          </cell>
          <cell r="I23">
            <v>1000</v>
          </cell>
          <cell r="J23">
            <v>2000</v>
          </cell>
          <cell r="K23">
            <v>5500</v>
          </cell>
          <cell r="L23">
            <v>11000</v>
          </cell>
          <cell r="M23">
            <v>0.2</v>
          </cell>
          <cell r="N23" t="str">
            <v>$25 Copay, subject to deductible</v>
          </cell>
          <cell r="O23" t="str">
            <v>$40 Copay, subject to deductible</v>
          </cell>
          <cell r="P23" t="str">
            <v>$40 Copay, subject to deductible</v>
          </cell>
          <cell r="Q23" t="str">
            <v>Lab: $25/ X-Ray: $40, subject to deductible</v>
          </cell>
          <cell r="R23" t="str">
            <v>$250 Copay, subject to deductible</v>
          </cell>
          <cell r="S23" t="str">
            <v>$250 Copay, subject to deductible</v>
          </cell>
          <cell r="T23" t="str">
            <v>Covered at 80%, subject to deductible</v>
          </cell>
          <cell r="U23" t="str">
            <v>Covered at 80%, subject to deductible</v>
          </cell>
          <cell r="V23" t="str">
            <v>Covered at 80%, subject to deductible</v>
          </cell>
          <cell r="W23" t="str">
            <v>$100 Copay, subject to deductible</v>
          </cell>
          <cell r="X23" t="str">
            <v>Covered at 80%, subject to deductible</v>
          </cell>
          <cell r="Y23" t="str">
            <v>$25 Copay, subject to deductible</v>
          </cell>
          <cell r="Z23" t="str">
            <v>$40 Copay, subject to deductible</v>
          </cell>
          <cell r="AA23" t="str">
            <v>$25 Copay, subject to deductible</v>
          </cell>
          <cell r="AB23" t="str">
            <v>$40 Copay, subject to deductible</v>
          </cell>
          <cell r="AC23" t="str">
            <v>$40 Copay, subject to deductible, for up to 60 visits per contract year</v>
          </cell>
          <cell r="AD23" t="str">
            <v>Adult/ Pediatric: $40 Copay, subject to deductible, for one routine exam per year</v>
          </cell>
          <cell r="AE23" t="str">
            <v>Adult: $60 allowance per year; Pediatric: Covered at 50%, subject to deductible, for one purchase per year</v>
          </cell>
          <cell r="AF23" t="str">
            <v>Covered at 50%, subject to deductible</v>
          </cell>
          <cell r="AG23" t="str">
            <v>N/A</v>
          </cell>
          <cell r="AH23">
            <v>5</v>
          </cell>
          <cell r="AI23">
            <v>35</v>
          </cell>
          <cell r="AJ23">
            <v>70</v>
          </cell>
          <cell r="AK23" t="str">
            <v>Yes</v>
          </cell>
          <cell r="AL23" t="str">
            <v>Embedded</v>
          </cell>
          <cell r="AM23" t="str">
            <v>$10, subject to deductible</v>
          </cell>
          <cell r="AN23">
            <v>611.66999999999996</v>
          </cell>
          <cell r="AO23">
            <v>1223.3399999999999</v>
          </cell>
          <cell r="AP23">
            <v>1039.8399999999999</v>
          </cell>
          <cell r="AQ23">
            <v>1743.27</v>
          </cell>
          <cell r="AR23">
            <v>623.9</v>
          </cell>
          <cell r="AS23">
            <v>1247.8</v>
          </cell>
          <cell r="AT23">
            <v>1060.6300000000001</v>
          </cell>
          <cell r="AU23">
            <v>1778.12</v>
          </cell>
          <cell r="AV23">
            <v>636.38</v>
          </cell>
          <cell r="AW23">
            <v>1272.76</v>
          </cell>
          <cell r="AX23">
            <v>1081.8499999999999</v>
          </cell>
          <cell r="AY23">
            <v>1813.68</v>
          </cell>
          <cell r="AZ23">
            <v>649.11</v>
          </cell>
          <cell r="BA23">
            <v>1298.22</v>
          </cell>
          <cell r="BB23">
            <v>1103.49</v>
          </cell>
          <cell r="BC23">
            <v>1849.96</v>
          </cell>
        </row>
        <row r="24">
          <cell r="C24" t="str">
            <v>Excellus SB Plus Gold 17</v>
          </cell>
          <cell r="H24" t="str">
            <v>Hybrid</v>
          </cell>
          <cell r="I24">
            <v>900</v>
          </cell>
          <cell r="J24">
            <v>1800</v>
          </cell>
          <cell r="K24">
            <v>8150</v>
          </cell>
          <cell r="L24">
            <v>16300</v>
          </cell>
          <cell r="M24">
            <v>0.2</v>
          </cell>
          <cell r="N24">
            <v>25</v>
          </cell>
          <cell r="O24">
            <v>40</v>
          </cell>
          <cell r="P24">
            <v>40</v>
          </cell>
          <cell r="Q24" t="str">
            <v>Lab: $25/ X-Ray: $40</v>
          </cell>
          <cell r="R24">
            <v>250</v>
          </cell>
          <cell r="S24">
            <v>250</v>
          </cell>
          <cell r="T24" t="str">
            <v>Covered at 80%, subject to deductible</v>
          </cell>
          <cell r="U24" t="str">
            <v>Covered at 80%, subject to deductible</v>
          </cell>
          <cell r="V24" t="str">
            <v>Covered at 80%, subject to deductible</v>
          </cell>
          <cell r="W24">
            <v>100</v>
          </cell>
          <cell r="X24" t="str">
            <v>Covered at 80%, subject to deductible</v>
          </cell>
          <cell r="Y24">
            <v>25</v>
          </cell>
          <cell r="Z24">
            <v>40</v>
          </cell>
          <cell r="AA24">
            <v>25</v>
          </cell>
          <cell r="AB24">
            <v>40</v>
          </cell>
          <cell r="AC24" t="str">
            <v>$40 Copay for up to 60 visits, per contract year</v>
          </cell>
          <cell r="AD24" t="str">
            <v>Adult/ Pediatric: $40 Copay for one routine exam per year</v>
          </cell>
          <cell r="AE24" t="str">
            <v>Adult: $60 allowance per year; Pediatric: Covered at 50%, subject to deductible, for one purchase per year</v>
          </cell>
          <cell r="AF24" t="str">
            <v>Covered at 50%, subject to deductible</v>
          </cell>
          <cell r="AG24" t="str">
            <v>N/A</v>
          </cell>
          <cell r="AH24">
            <v>5</v>
          </cell>
          <cell r="AI24">
            <v>45</v>
          </cell>
          <cell r="AJ24">
            <v>90</v>
          </cell>
          <cell r="AK24" t="str">
            <v>Yes</v>
          </cell>
          <cell r="AL24" t="str">
            <v>Embedded</v>
          </cell>
          <cell r="AM24">
            <v>10</v>
          </cell>
          <cell r="AN24">
            <v>619.29999999999995</v>
          </cell>
          <cell r="AO24">
            <v>1238.5999999999999</v>
          </cell>
          <cell r="AP24">
            <v>1052.82</v>
          </cell>
          <cell r="AQ24">
            <v>1765.01</v>
          </cell>
          <cell r="AR24">
            <v>631.69000000000005</v>
          </cell>
          <cell r="AS24">
            <v>1263.3800000000001</v>
          </cell>
          <cell r="AT24">
            <v>1073.8699999999999</v>
          </cell>
          <cell r="AU24">
            <v>1800.32</v>
          </cell>
          <cell r="AV24">
            <v>644.32000000000005</v>
          </cell>
          <cell r="AW24">
            <v>1288.6400000000001</v>
          </cell>
          <cell r="AX24">
            <v>1095.3399999999999</v>
          </cell>
          <cell r="AY24">
            <v>1836.31</v>
          </cell>
          <cell r="AZ24">
            <v>657.21</v>
          </cell>
          <cell r="BA24">
            <v>1314.42</v>
          </cell>
          <cell r="BB24">
            <v>1117.26</v>
          </cell>
          <cell r="BC24">
            <v>1873.05</v>
          </cell>
        </row>
        <row r="25">
          <cell r="C25" t="str">
            <v>Excellus SB Plus Gold 18</v>
          </cell>
          <cell r="H25" t="str">
            <v>Hybrid</v>
          </cell>
          <cell r="I25">
            <v>1000</v>
          </cell>
          <cell r="J25">
            <v>2000</v>
          </cell>
          <cell r="K25">
            <v>6200</v>
          </cell>
          <cell r="L25">
            <v>12400</v>
          </cell>
          <cell r="M25">
            <v>0.2</v>
          </cell>
          <cell r="N25">
            <v>30</v>
          </cell>
          <cell r="O25">
            <v>50</v>
          </cell>
          <cell r="P25">
            <v>50</v>
          </cell>
          <cell r="Q25" t="str">
            <v>Lab: $30/ X-Ray: $50</v>
          </cell>
          <cell r="R25">
            <v>250</v>
          </cell>
          <cell r="S25">
            <v>250</v>
          </cell>
          <cell r="T25" t="str">
            <v>Covered at 80%, subject to deductible</v>
          </cell>
          <cell r="U25" t="str">
            <v>Covered at 80%, subject to deductible</v>
          </cell>
          <cell r="V25" t="str">
            <v>Covered at 80%, subject to deductible</v>
          </cell>
          <cell r="W25">
            <v>100</v>
          </cell>
          <cell r="X25" t="str">
            <v>Covered at 80%, subject to deductible</v>
          </cell>
          <cell r="Y25">
            <v>30</v>
          </cell>
          <cell r="Z25">
            <v>50</v>
          </cell>
          <cell r="AA25">
            <v>30</v>
          </cell>
          <cell r="AB25">
            <v>50</v>
          </cell>
          <cell r="AC25" t="str">
            <v>$50 Copay for up to 60 visits, per contract year</v>
          </cell>
          <cell r="AD25" t="str">
            <v>Adult/ Pediatric: $50 Copay for one routine exam per year</v>
          </cell>
          <cell r="AE25" t="str">
            <v>Adult: $60 allowance per year; Pediatric: Covered at 50%, subject to deductible, for one purchase per year</v>
          </cell>
          <cell r="AF25" t="str">
            <v>Covered at 50%, subject to deductible</v>
          </cell>
          <cell r="AG25" t="str">
            <v>N/A</v>
          </cell>
          <cell r="AH25">
            <v>5</v>
          </cell>
          <cell r="AI25">
            <v>45</v>
          </cell>
          <cell r="AJ25">
            <v>90</v>
          </cell>
          <cell r="AK25" t="str">
            <v>Yes</v>
          </cell>
          <cell r="AL25" t="str">
            <v>Embedded</v>
          </cell>
          <cell r="AM25">
            <v>10</v>
          </cell>
          <cell r="AN25">
            <v>620.72</v>
          </cell>
          <cell r="AO25">
            <v>1241.43</v>
          </cell>
          <cell r="AP25">
            <v>1055.22</v>
          </cell>
          <cell r="AQ25">
            <v>1769.04</v>
          </cell>
          <cell r="AR25">
            <v>633.13</v>
          </cell>
          <cell r="AS25">
            <v>1266.26</v>
          </cell>
          <cell r="AT25">
            <v>1076.32</v>
          </cell>
          <cell r="AU25">
            <v>1804.42</v>
          </cell>
          <cell r="AV25">
            <v>645.79</v>
          </cell>
          <cell r="AW25">
            <v>1291.58</v>
          </cell>
          <cell r="AX25">
            <v>1097.8399999999999</v>
          </cell>
          <cell r="AY25">
            <v>1840.5</v>
          </cell>
          <cell r="AZ25">
            <v>658.71</v>
          </cell>
          <cell r="BA25">
            <v>1317.42</v>
          </cell>
          <cell r="BB25">
            <v>1119.81</v>
          </cell>
          <cell r="BC25">
            <v>1877.32</v>
          </cell>
        </row>
        <row r="26">
          <cell r="C26" t="str">
            <v>Excellus SB Plus Gold 19</v>
          </cell>
          <cell r="H26" t="str">
            <v>Hybrid</v>
          </cell>
          <cell r="I26">
            <v>2250</v>
          </cell>
          <cell r="J26">
            <v>4500</v>
          </cell>
          <cell r="K26">
            <v>6850</v>
          </cell>
          <cell r="L26">
            <v>13700</v>
          </cell>
          <cell r="M26">
            <v>0.2</v>
          </cell>
          <cell r="N26">
            <v>40</v>
          </cell>
          <cell r="O26">
            <v>60</v>
          </cell>
          <cell r="P26">
            <v>60</v>
          </cell>
          <cell r="Q26" t="str">
            <v>Lab: $40/ X-Ray: $60</v>
          </cell>
          <cell r="R26">
            <v>350</v>
          </cell>
          <cell r="S26">
            <v>350</v>
          </cell>
          <cell r="T26" t="str">
            <v>Covered at 80%, subject to deductible</v>
          </cell>
          <cell r="U26" t="str">
            <v>Covered at 80%, subject to deductible</v>
          </cell>
          <cell r="V26" t="str">
            <v>Covered at 80%, subject to deductible</v>
          </cell>
          <cell r="W26">
            <v>100</v>
          </cell>
          <cell r="X26" t="str">
            <v>Covered at 80%, subject to deductible</v>
          </cell>
          <cell r="Y26">
            <v>40</v>
          </cell>
          <cell r="Z26">
            <v>60</v>
          </cell>
          <cell r="AA26">
            <v>40</v>
          </cell>
          <cell r="AB26">
            <v>60</v>
          </cell>
          <cell r="AC26" t="str">
            <v>$60 Copay for up to 60 visits per contract year</v>
          </cell>
          <cell r="AD26" t="str">
            <v>Adult/ Pediatric: $60 Copay for one routine exam per year</v>
          </cell>
          <cell r="AE26" t="str">
            <v>Adult: $60 allowance per year; Pediatric: Covered at 50%, subject to deductible, for one purchase per year</v>
          </cell>
          <cell r="AF26" t="str">
            <v>Covered at 50%, subject to deductible</v>
          </cell>
          <cell r="AG26" t="str">
            <v>N/A</v>
          </cell>
          <cell r="AH26">
            <v>5</v>
          </cell>
          <cell r="AI26">
            <v>45</v>
          </cell>
          <cell r="AJ26">
            <v>90</v>
          </cell>
          <cell r="AK26" t="str">
            <v>Yes</v>
          </cell>
          <cell r="AL26" t="str">
            <v>Embedded</v>
          </cell>
          <cell r="AM26">
            <v>10</v>
          </cell>
          <cell r="AN26">
            <v>589.76</v>
          </cell>
          <cell r="AO26">
            <v>1179.52</v>
          </cell>
          <cell r="AP26">
            <v>1002.59</v>
          </cell>
          <cell r="AQ26">
            <v>1680.83</v>
          </cell>
          <cell r="AR26">
            <v>601.55999999999995</v>
          </cell>
          <cell r="AS26">
            <v>1203.1199999999999</v>
          </cell>
          <cell r="AT26">
            <v>1022.65</v>
          </cell>
          <cell r="AU26">
            <v>1714.45</v>
          </cell>
          <cell r="AV26">
            <v>613.59</v>
          </cell>
          <cell r="AW26">
            <v>1227.18</v>
          </cell>
          <cell r="AX26">
            <v>1043.0999999999999</v>
          </cell>
          <cell r="AY26">
            <v>1748.73</v>
          </cell>
          <cell r="AZ26">
            <v>625.86</v>
          </cell>
          <cell r="BA26">
            <v>1251.72</v>
          </cell>
          <cell r="BB26">
            <v>1063.96</v>
          </cell>
          <cell r="BC26">
            <v>1783.7</v>
          </cell>
        </row>
        <row r="27">
          <cell r="C27" t="str">
            <v>Excellus SB Plus Gold 20</v>
          </cell>
          <cell r="H27" t="str">
            <v>Deductible</v>
          </cell>
          <cell r="I27">
            <v>1800</v>
          </cell>
          <cell r="J27">
            <v>3600</v>
          </cell>
          <cell r="K27">
            <v>3600</v>
          </cell>
          <cell r="L27">
            <v>7200</v>
          </cell>
          <cell r="M27">
            <v>0.2</v>
          </cell>
          <cell r="N27" t="str">
            <v>Covered at 80%, subject to deductible</v>
          </cell>
          <cell r="O27" t="str">
            <v>Covered at 80%, subject to deductible</v>
          </cell>
          <cell r="P27" t="str">
            <v>Covered at 80%, subject to deductible</v>
          </cell>
          <cell r="Q27" t="str">
            <v>Covered at 80%, subject to deductible</v>
          </cell>
          <cell r="R27" t="str">
            <v>Covered at 80%, subject to deductible</v>
          </cell>
          <cell r="S27" t="str">
            <v>Covered at 80%, subject to deductible</v>
          </cell>
          <cell r="T27" t="str">
            <v>Covered at 80%, subject to deductible</v>
          </cell>
          <cell r="U27" t="str">
            <v>Covered at 80%, subject to deductible</v>
          </cell>
          <cell r="V27" t="str">
            <v>Covered at 80%, subject to deductible</v>
          </cell>
          <cell r="W27" t="str">
            <v>Covered at 80%, subject to deductible</v>
          </cell>
          <cell r="X27" t="str">
            <v>Covered at 80%, subject to deductible</v>
          </cell>
          <cell r="Y27" t="str">
            <v>Covered at 80%, subject to deductible</v>
          </cell>
          <cell r="Z27" t="str">
            <v>Covered at 80%, subject to deductible</v>
          </cell>
          <cell r="AA27" t="str">
            <v>Covered at 80%, subject to deductible</v>
          </cell>
          <cell r="AB27" t="str">
            <v>Covered at 80%, subject to deductible</v>
          </cell>
          <cell r="AC27" t="str">
            <v>Covered at 80%, subject to deductible, for up to 60 visits per contract year</v>
          </cell>
          <cell r="AD27" t="str">
            <v>Adult/ Pediatric: Covered at 80%, subject to deductible, for one routine exam per year</v>
          </cell>
          <cell r="AE27" t="str">
            <v>Adult: $60 allowance per year/ Pediatric: Covered at 50%, subject to deductible, for one purchase per year</v>
          </cell>
          <cell r="AF27" t="str">
            <v>Covered at 50%, subject to deductible</v>
          </cell>
          <cell r="AG27" t="str">
            <v>Subject to plan deductible (except preventive drugs)</v>
          </cell>
          <cell r="AH27">
            <v>5</v>
          </cell>
          <cell r="AI27">
            <v>45</v>
          </cell>
          <cell r="AJ27">
            <v>90</v>
          </cell>
          <cell r="AK27" t="str">
            <v>Yes</v>
          </cell>
          <cell r="AL27" t="str">
            <v>Aggregate</v>
          </cell>
          <cell r="AM27" t="str">
            <v>Covered at 80%, subject to deductible</v>
          </cell>
          <cell r="AN27">
            <v>564.27</v>
          </cell>
          <cell r="AO27">
            <v>1128.54</v>
          </cell>
          <cell r="AP27">
            <v>959.26</v>
          </cell>
          <cell r="AQ27">
            <v>1608.17</v>
          </cell>
          <cell r="AR27">
            <v>575.55999999999995</v>
          </cell>
          <cell r="AS27">
            <v>1151.1199999999999</v>
          </cell>
          <cell r="AT27">
            <v>978.45</v>
          </cell>
          <cell r="AU27">
            <v>1640.35</v>
          </cell>
          <cell r="AV27">
            <v>587.07000000000005</v>
          </cell>
          <cell r="AW27">
            <v>1174.1400000000001</v>
          </cell>
          <cell r="AX27">
            <v>998.02</v>
          </cell>
          <cell r="AY27">
            <v>1673.15</v>
          </cell>
          <cell r="AZ27">
            <v>598.80999999999995</v>
          </cell>
          <cell r="BA27">
            <v>1197.6199999999999</v>
          </cell>
          <cell r="BB27">
            <v>1017.98</v>
          </cell>
          <cell r="BC27">
            <v>1706.61</v>
          </cell>
        </row>
        <row r="28">
          <cell r="C28" t="str">
            <v>Excellus SB Plus Platinum 4</v>
          </cell>
          <cell r="H28" t="str">
            <v>Hybrid</v>
          </cell>
          <cell r="I28">
            <v>250</v>
          </cell>
          <cell r="J28">
            <v>500</v>
          </cell>
          <cell r="K28">
            <v>2000</v>
          </cell>
          <cell r="L28">
            <v>4000</v>
          </cell>
          <cell r="M28">
            <v>0.2</v>
          </cell>
          <cell r="N28">
            <v>15</v>
          </cell>
          <cell r="O28">
            <v>25</v>
          </cell>
          <cell r="P28">
            <v>25</v>
          </cell>
          <cell r="Q28" t="str">
            <v>Lab: $15/ X-Ray: $25</v>
          </cell>
          <cell r="R28">
            <v>150</v>
          </cell>
          <cell r="S28">
            <v>150</v>
          </cell>
          <cell r="T28" t="str">
            <v>Covered at 80%, subject to deductible</v>
          </cell>
          <cell r="U28" t="str">
            <v>Covered at 80%, subject to deductible</v>
          </cell>
          <cell r="V28" t="str">
            <v>Covered at 80%, subject to deductible</v>
          </cell>
          <cell r="W28">
            <v>100</v>
          </cell>
          <cell r="X28" t="str">
            <v>Covered at 80%, subject to deductible</v>
          </cell>
          <cell r="Y28">
            <v>15</v>
          </cell>
          <cell r="Z28">
            <v>25</v>
          </cell>
          <cell r="AA28">
            <v>15</v>
          </cell>
          <cell r="AB28">
            <v>25</v>
          </cell>
          <cell r="AC28" t="str">
            <v>$25 Copay for up to 60 visits, per contract year</v>
          </cell>
          <cell r="AD28" t="str">
            <v>Adult/ Pediatric: $25 Copay for one routine exam per year</v>
          </cell>
          <cell r="AE28" t="str">
            <v>Adult: $60 allowance per year; Pediatric: Covered at 50%, subject to deductible, for one purchase per year</v>
          </cell>
          <cell r="AF28" t="str">
            <v>Covered at 50%, subject to deductible</v>
          </cell>
          <cell r="AG28" t="str">
            <v>N/A</v>
          </cell>
          <cell r="AH28">
            <v>5</v>
          </cell>
          <cell r="AI28">
            <v>25</v>
          </cell>
          <cell r="AJ28">
            <v>50</v>
          </cell>
          <cell r="AK28" t="str">
            <v>Yes</v>
          </cell>
          <cell r="AL28" t="str">
            <v>Embedded</v>
          </cell>
          <cell r="AM28">
            <v>10</v>
          </cell>
          <cell r="AN28">
            <v>726.83</v>
          </cell>
          <cell r="AO28">
            <v>1453.66</v>
          </cell>
          <cell r="AP28">
            <v>1235.6099999999999</v>
          </cell>
          <cell r="AQ28">
            <v>2071.4699999999998</v>
          </cell>
          <cell r="AR28">
            <v>741.37</v>
          </cell>
          <cell r="AS28">
            <v>1482.74</v>
          </cell>
          <cell r="AT28">
            <v>1260.33</v>
          </cell>
          <cell r="AU28">
            <v>2112.9</v>
          </cell>
          <cell r="AV28">
            <v>756.2</v>
          </cell>
          <cell r="AW28">
            <v>1512.4</v>
          </cell>
          <cell r="AX28">
            <v>1285.54</v>
          </cell>
          <cell r="AY28">
            <v>2155.17</v>
          </cell>
          <cell r="AZ28">
            <v>771.32</v>
          </cell>
          <cell r="BA28">
            <v>1542.64</v>
          </cell>
          <cell r="BB28">
            <v>1311.24</v>
          </cell>
          <cell r="BC28">
            <v>2198.2600000000002</v>
          </cell>
        </row>
        <row r="29">
          <cell r="C29" t="str">
            <v>Excellus SB Plus Silver 16</v>
          </cell>
          <cell r="H29" t="str">
            <v>Deductible</v>
          </cell>
          <cell r="I29">
            <v>3200</v>
          </cell>
          <cell r="J29">
            <v>6400</v>
          </cell>
          <cell r="K29">
            <v>6550</v>
          </cell>
          <cell r="L29">
            <v>13100</v>
          </cell>
          <cell r="M29">
            <v>0.2</v>
          </cell>
          <cell r="N29" t="str">
            <v>Covered at 80%, subject to deductible</v>
          </cell>
          <cell r="O29" t="str">
            <v>Covered at 80%, subject to deductible</v>
          </cell>
          <cell r="P29" t="str">
            <v>Covered at 80%, subject to deductible</v>
          </cell>
          <cell r="Q29" t="str">
            <v>Covered at 80%, subject to deductible</v>
          </cell>
          <cell r="R29" t="str">
            <v>Covered at 80%, subject to deductible</v>
          </cell>
          <cell r="S29" t="str">
            <v>Covered at 80%, subject to deductible</v>
          </cell>
          <cell r="T29" t="str">
            <v>Covered at 80%, subject to deductible</v>
          </cell>
          <cell r="U29" t="str">
            <v>Covered at 80%, subject to deductible</v>
          </cell>
          <cell r="V29" t="str">
            <v>Covered at 80%, subject to deductible</v>
          </cell>
          <cell r="W29" t="str">
            <v>Covered at 80%, subject to deductible</v>
          </cell>
          <cell r="X29" t="str">
            <v>Covered at 80%, subject to deductible</v>
          </cell>
          <cell r="Y29" t="str">
            <v>Covered at 80%, subject to deductible</v>
          </cell>
          <cell r="Z29" t="str">
            <v>Covered at 80%, subject to deductible</v>
          </cell>
          <cell r="AA29" t="str">
            <v>Covered at 80%, subject to deductible</v>
          </cell>
          <cell r="AB29" t="str">
            <v>Covered at 80%, subject to deductible</v>
          </cell>
          <cell r="AC29" t="str">
            <v>Covered at 80%, subject to deductible, for up to 60 visits per contract year</v>
          </cell>
          <cell r="AD29" t="str">
            <v>Adult/ Pediatric: Covered at 80%, subject to deductible, for one routine exam per year</v>
          </cell>
          <cell r="AE29" t="str">
            <v>Adult: $60 allowance per year/ Pediatric: Covered at 50%, subject to deductible, for one purchase per year</v>
          </cell>
          <cell r="AF29" t="str">
            <v>Covered at 50%, subject to deductible</v>
          </cell>
          <cell r="AG29" t="str">
            <v>Subject to plan deductible (except preventive drugs)</v>
          </cell>
          <cell r="AH29">
            <v>5</v>
          </cell>
          <cell r="AI29">
            <v>45</v>
          </cell>
          <cell r="AJ29">
            <v>90</v>
          </cell>
          <cell r="AK29" t="str">
            <v>Yes</v>
          </cell>
          <cell r="AL29" t="str">
            <v>Aggregate</v>
          </cell>
          <cell r="AM29" t="str">
            <v>Covered at 80%, subject to deductible</v>
          </cell>
          <cell r="AN29">
            <v>461.48</v>
          </cell>
          <cell r="AO29">
            <v>922.96</v>
          </cell>
          <cell r="AP29">
            <v>784.52</v>
          </cell>
          <cell r="AQ29">
            <v>1315.22</v>
          </cell>
          <cell r="AR29">
            <v>470.71</v>
          </cell>
          <cell r="AS29">
            <v>941.42</v>
          </cell>
          <cell r="AT29">
            <v>800.21</v>
          </cell>
          <cell r="AU29">
            <v>1341.52</v>
          </cell>
          <cell r="AV29">
            <v>480.12</v>
          </cell>
          <cell r="AW29">
            <v>960.24</v>
          </cell>
          <cell r="AX29">
            <v>816.2</v>
          </cell>
          <cell r="AY29">
            <v>1368.34</v>
          </cell>
          <cell r="AZ29">
            <v>489.72</v>
          </cell>
          <cell r="BA29">
            <v>979.44</v>
          </cell>
          <cell r="BB29">
            <v>832.52</v>
          </cell>
          <cell r="BC29">
            <v>1395.7</v>
          </cell>
        </row>
        <row r="30">
          <cell r="C30" t="str">
            <v>Excellus SB Plus Silver 17</v>
          </cell>
          <cell r="H30" t="str">
            <v>Deductible</v>
          </cell>
          <cell r="I30">
            <v>3600</v>
          </cell>
          <cell r="J30">
            <v>7200</v>
          </cell>
          <cell r="K30">
            <v>6550</v>
          </cell>
          <cell r="L30">
            <v>13100</v>
          </cell>
          <cell r="M30">
            <v>0.2</v>
          </cell>
          <cell r="N30" t="str">
            <v>Covered at 80%, subject to deductible</v>
          </cell>
          <cell r="O30" t="str">
            <v>Covered at 80%, subject to deductible</v>
          </cell>
          <cell r="P30" t="str">
            <v>Covered at 80%, subject to deductible</v>
          </cell>
          <cell r="Q30" t="str">
            <v>Covered at 80%, subject to deductible</v>
          </cell>
          <cell r="R30" t="str">
            <v>Covered at 80%, subject to deductible</v>
          </cell>
          <cell r="S30" t="str">
            <v>Covered at 80%, subject to deductible</v>
          </cell>
          <cell r="T30" t="str">
            <v>Covered at 80%, subject to deductible</v>
          </cell>
          <cell r="U30" t="str">
            <v>Covered at 80%, subject to deductible</v>
          </cell>
          <cell r="V30" t="str">
            <v>Covered at 80%, subject to deductible</v>
          </cell>
          <cell r="W30" t="str">
            <v>Covered at 80%, subject to deductible</v>
          </cell>
          <cell r="X30" t="str">
            <v>Covered at 80%, subject to deductible</v>
          </cell>
          <cell r="Y30" t="str">
            <v>Covered at 80%, subject to deductible</v>
          </cell>
          <cell r="Z30" t="str">
            <v>Covered at 80%, subject to deductible</v>
          </cell>
          <cell r="AA30" t="str">
            <v>Covered at 80%, subject to deductible</v>
          </cell>
          <cell r="AB30" t="str">
            <v>Covered at 80%, subject to deductible</v>
          </cell>
          <cell r="AC30" t="str">
            <v>Covered at 80%, subject to deductible, for up to 60 visits per contract year</v>
          </cell>
          <cell r="AD30" t="str">
            <v>Adult/ Pediatric: Covered at 80%, subject to deductible, for one routine exam per year</v>
          </cell>
          <cell r="AE30" t="str">
            <v>Adult: $60 allowance per year/ Pediatric: Covered at 50%, subject to deductible, for one purchase per year</v>
          </cell>
          <cell r="AF30" t="str">
            <v>Covered at 50%, subject to deductible</v>
          </cell>
          <cell r="AG30" t="str">
            <v>Subject to plan deductible (except preventive drugs)</v>
          </cell>
          <cell r="AH30">
            <v>5</v>
          </cell>
          <cell r="AI30">
            <v>35</v>
          </cell>
          <cell r="AJ30">
            <v>70</v>
          </cell>
          <cell r="AK30" t="str">
            <v>Yes</v>
          </cell>
          <cell r="AL30" t="str">
            <v>Aggregate</v>
          </cell>
          <cell r="AM30" t="str">
            <v>Covered at 80%, subject to deductible</v>
          </cell>
          <cell r="AN30">
            <v>448.47</v>
          </cell>
          <cell r="AO30">
            <v>896.93</v>
          </cell>
          <cell r="AP30">
            <v>762.4</v>
          </cell>
          <cell r="AQ30">
            <v>1278.1300000000001</v>
          </cell>
          <cell r="AR30">
            <v>457.44</v>
          </cell>
          <cell r="AS30">
            <v>914.88</v>
          </cell>
          <cell r="AT30">
            <v>777.65</v>
          </cell>
          <cell r="AU30">
            <v>1303.7</v>
          </cell>
          <cell r="AV30">
            <v>466.59</v>
          </cell>
          <cell r="AW30">
            <v>933.18</v>
          </cell>
          <cell r="AX30">
            <v>793.2</v>
          </cell>
          <cell r="AY30">
            <v>1329.78</v>
          </cell>
          <cell r="AZ30">
            <v>475.92</v>
          </cell>
          <cell r="BA30">
            <v>951.84</v>
          </cell>
          <cell r="BB30">
            <v>809.06</v>
          </cell>
          <cell r="BC30">
            <v>1356.37</v>
          </cell>
        </row>
        <row r="31">
          <cell r="C31" t="str">
            <v>Excellus SB Plus Silver 18</v>
          </cell>
          <cell r="H31" t="str">
            <v>Hybrid</v>
          </cell>
          <cell r="I31">
            <v>7250</v>
          </cell>
          <cell r="J31">
            <v>14500</v>
          </cell>
          <cell r="K31">
            <v>8150</v>
          </cell>
          <cell r="L31">
            <v>16300</v>
          </cell>
          <cell r="M31">
            <v>0.3</v>
          </cell>
          <cell r="N31">
            <v>50</v>
          </cell>
          <cell r="O31">
            <v>75</v>
          </cell>
          <cell r="P31">
            <v>75</v>
          </cell>
          <cell r="Q31" t="str">
            <v>Lab: $50/ X-Ray: $75</v>
          </cell>
          <cell r="R31">
            <v>650</v>
          </cell>
          <cell r="S31">
            <v>650</v>
          </cell>
          <cell r="T31" t="str">
            <v>Covered at 70%, subject to deductible</v>
          </cell>
          <cell r="U31" t="str">
            <v>Covered at 70%, subject to deductible</v>
          </cell>
          <cell r="V31" t="str">
            <v>Covered at 70%, subject to deductible</v>
          </cell>
          <cell r="W31">
            <v>100</v>
          </cell>
          <cell r="X31" t="str">
            <v>Covered at 70%, subject to deductible</v>
          </cell>
          <cell r="Y31">
            <v>50</v>
          </cell>
          <cell r="Z31">
            <v>75</v>
          </cell>
          <cell r="AA31">
            <v>50</v>
          </cell>
          <cell r="AB31">
            <v>75</v>
          </cell>
          <cell r="AC31" t="str">
            <v>$75 Copay for up to 60 visits per contract year</v>
          </cell>
          <cell r="AD31" t="str">
            <v>Adult/ Pediatric: $75 Copay for one routine exam per year</v>
          </cell>
          <cell r="AE31" t="str">
            <v>Adult: $60 allowance per year/ Pediatric: Covered at 50%, subject to deductible, for one purchase per year</v>
          </cell>
          <cell r="AF31" t="str">
            <v>Covered at 50%, subject to deductible</v>
          </cell>
          <cell r="AG31" t="str">
            <v>N/A</v>
          </cell>
          <cell r="AH31">
            <v>10</v>
          </cell>
          <cell r="AI31">
            <v>45</v>
          </cell>
          <cell r="AJ31">
            <v>90</v>
          </cell>
          <cell r="AK31" t="str">
            <v>Yes</v>
          </cell>
          <cell r="AL31" t="str">
            <v>Embedded</v>
          </cell>
          <cell r="AM31">
            <v>10</v>
          </cell>
          <cell r="AN31">
            <v>487.66</v>
          </cell>
          <cell r="AO31">
            <v>975.33</v>
          </cell>
          <cell r="AP31">
            <v>829.03</v>
          </cell>
          <cell r="AQ31">
            <v>1389.84</v>
          </cell>
          <cell r="AR31">
            <v>497.41</v>
          </cell>
          <cell r="AS31">
            <v>994.82</v>
          </cell>
          <cell r="AT31">
            <v>845.6</v>
          </cell>
          <cell r="AU31">
            <v>1417.62</v>
          </cell>
          <cell r="AV31">
            <v>507.36</v>
          </cell>
          <cell r="AW31">
            <v>1014.72</v>
          </cell>
          <cell r="AX31">
            <v>862.51</v>
          </cell>
          <cell r="AY31">
            <v>1445.98</v>
          </cell>
          <cell r="AZ31">
            <v>517.51</v>
          </cell>
          <cell r="BA31">
            <v>1035.02</v>
          </cell>
          <cell r="BB31">
            <v>879.77</v>
          </cell>
          <cell r="BC31">
            <v>1474.9</v>
          </cell>
        </row>
        <row r="32">
          <cell r="C32" t="str">
            <v>Excellus SB Plus Silver 19</v>
          </cell>
          <cell r="H32" t="str">
            <v>HDHP</v>
          </cell>
          <cell r="I32">
            <v>2250</v>
          </cell>
          <cell r="J32">
            <v>4500</v>
          </cell>
          <cell r="K32">
            <v>6900</v>
          </cell>
          <cell r="L32">
            <v>13800</v>
          </cell>
          <cell r="M32">
            <v>0</v>
          </cell>
          <cell r="N32" t="str">
            <v>$25 Copay, subject to deductible</v>
          </cell>
          <cell r="O32" t="str">
            <v>$50 Copay, subject to deductible</v>
          </cell>
          <cell r="P32" t="str">
            <v>$50 Copay, subject to deductible</v>
          </cell>
          <cell r="Q32" t="str">
            <v>Lab: $25/ X-Ray: $50, subject to deductible</v>
          </cell>
          <cell r="R32" t="str">
            <v>$300 Copay, subject to deductible</v>
          </cell>
          <cell r="S32" t="str">
            <v>$300 Copay, subject to deductible</v>
          </cell>
          <cell r="T32" t="str">
            <v>$500 Copay, subject to deductible</v>
          </cell>
          <cell r="U32" t="str">
            <v>$300 Copay, subject to deductible</v>
          </cell>
          <cell r="V32" t="str">
            <v>$500 Copay, subject to deductible</v>
          </cell>
          <cell r="W32" t="str">
            <v>$100 Copay, subject to deductible</v>
          </cell>
          <cell r="X32" t="str">
            <v>$500 Copay, subject to deductible</v>
          </cell>
          <cell r="Y32" t="str">
            <v>$25 Copay, subject to deductible</v>
          </cell>
          <cell r="Z32" t="str">
            <v>$50 Copay, subject to deductible</v>
          </cell>
          <cell r="AA32" t="str">
            <v>$25 Copay, subject to deductible</v>
          </cell>
          <cell r="AB32" t="str">
            <v>$50 Copay, subject to deductible</v>
          </cell>
          <cell r="AC32" t="str">
            <v>$50 Copay, subject to deductible, for up to 60 visits per contract year</v>
          </cell>
          <cell r="AD32" t="str">
            <v>Adult/ Pediatric: $50 Copay, subject to deductible, for one routine exam per year</v>
          </cell>
          <cell r="AE32" t="str">
            <v>Adult: $60 allowance per year/ Pediatric: Covered at 50%, subject to deductible, for one purchase per year</v>
          </cell>
          <cell r="AF32" t="str">
            <v>Covered at 50%, subject to deductible</v>
          </cell>
          <cell r="AG32" t="str">
            <v>Subject to plan deductible (except preventive drugs)</v>
          </cell>
          <cell r="AH32">
            <v>5</v>
          </cell>
          <cell r="AI32">
            <v>45</v>
          </cell>
          <cell r="AJ32">
            <v>90</v>
          </cell>
          <cell r="AK32" t="str">
            <v>Yes</v>
          </cell>
          <cell r="AL32" t="str">
            <v>Aggregate</v>
          </cell>
          <cell r="AM32" t="str">
            <v>$10, subject to deductible</v>
          </cell>
          <cell r="AN32">
            <v>498.44</v>
          </cell>
          <cell r="AO32">
            <v>996.88</v>
          </cell>
          <cell r="AP32">
            <v>847.35</v>
          </cell>
          <cell r="AQ32">
            <v>1420.56</v>
          </cell>
          <cell r="AR32">
            <v>508.41</v>
          </cell>
          <cell r="AS32">
            <v>1016.82</v>
          </cell>
          <cell r="AT32">
            <v>864.3</v>
          </cell>
          <cell r="AU32">
            <v>1448.97</v>
          </cell>
          <cell r="AV32">
            <v>518.58000000000004</v>
          </cell>
          <cell r="AW32">
            <v>1037.1600000000001</v>
          </cell>
          <cell r="AX32">
            <v>881.59</v>
          </cell>
          <cell r="AY32">
            <v>1477.95</v>
          </cell>
          <cell r="AZ32">
            <v>528.95000000000005</v>
          </cell>
          <cell r="BA32">
            <v>1057.9000000000001</v>
          </cell>
          <cell r="BB32">
            <v>899.22</v>
          </cell>
          <cell r="BC32">
            <v>1507.51</v>
          </cell>
        </row>
        <row r="33">
          <cell r="C33" t="str">
            <v>Excellus SB Plus Silver 6</v>
          </cell>
          <cell r="H33" t="str">
            <v>Hybrid</v>
          </cell>
          <cell r="I33">
            <v>2500</v>
          </cell>
          <cell r="J33">
            <v>5000</v>
          </cell>
          <cell r="K33">
            <v>8000</v>
          </cell>
          <cell r="L33">
            <v>16000</v>
          </cell>
          <cell r="M33">
            <v>0.25</v>
          </cell>
          <cell r="N33" t="str">
            <v>$40 Copay, subject to deductible</v>
          </cell>
          <cell r="O33" t="str">
            <v>$60 Copay, subject to deductible</v>
          </cell>
          <cell r="P33" t="str">
            <v>$60 Copay, subject to deductible</v>
          </cell>
          <cell r="Q33" t="str">
            <v>Lab: $40/ X-Ray: $60, subject to deductible</v>
          </cell>
          <cell r="R33" t="str">
            <v>$350 Copay, subject to deductible</v>
          </cell>
          <cell r="S33" t="str">
            <v>$350 Copay, subject to deductible</v>
          </cell>
          <cell r="T33" t="str">
            <v>Covered at 75%, subject to deductible</v>
          </cell>
          <cell r="U33" t="str">
            <v>Covered at 75%, subject to deductible</v>
          </cell>
          <cell r="V33" t="str">
            <v>Covered at 75%, subject to deductible</v>
          </cell>
          <cell r="W33" t="str">
            <v>$100 Copay, subject to deductible</v>
          </cell>
          <cell r="X33" t="str">
            <v>Covered at 75%, subject to deductible</v>
          </cell>
          <cell r="Y33" t="str">
            <v>$40 Copay, subject to deductible</v>
          </cell>
          <cell r="Z33" t="str">
            <v>$60 Copay, subject to deductible</v>
          </cell>
          <cell r="AA33" t="str">
            <v>$40 Copay, subject to deductible</v>
          </cell>
          <cell r="AB33" t="str">
            <v>$60 Copay, subject to deductible</v>
          </cell>
          <cell r="AC33" t="str">
            <v>$60 Copay, subject to deductible, for up to 60 visits per contract year</v>
          </cell>
          <cell r="AD33" t="str">
            <v>Adult/ Pediatric: $60 Copay, subject to deductible, for one routine exam per year</v>
          </cell>
          <cell r="AE33" t="str">
            <v>Adult: $60 allowance per year; Pediatric: Covered at 50%, subject to deductible, for one purchase per year</v>
          </cell>
          <cell r="AF33" t="str">
            <v>Covered at 50%, subject to deductible</v>
          </cell>
          <cell r="AG33" t="str">
            <v>N/A</v>
          </cell>
          <cell r="AH33">
            <v>5</v>
          </cell>
          <cell r="AI33">
            <v>45</v>
          </cell>
          <cell r="AJ33">
            <v>90</v>
          </cell>
          <cell r="AK33" t="str">
            <v>Yes</v>
          </cell>
          <cell r="AL33" t="str">
            <v>Embedded</v>
          </cell>
          <cell r="AM33" t="str">
            <v>$10, subject to deductible</v>
          </cell>
          <cell r="AN33">
            <v>510.3</v>
          </cell>
          <cell r="AO33">
            <v>1020.59</v>
          </cell>
          <cell r="AP33">
            <v>867.5</v>
          </cell>
          <cell r="AQ33">
            <v>1454.35</v>
          </cell>
          <cell r="AR33">
            <v>520.51</v>
          </cell>
          <cell r="AS33">
            <v>1041.02</v>
          </cell>
          <cell r="AT33">
            <v>884.87</v>
          </cell>
          <cell r="AU33">
            <v>1483.45</v>
          </cell>
          <cell r="AV33">
            <v>530.91999999999996</v>
          </cell>
          <cell r="AW33">
            <v>1061.8399999999999</v>
          </cell>
          <cell r="AX33">
            <v>902.56</v>
          </cell>
          <cell r="AY33">
            <v>1513.12</v>
          </cell>
          <cell r="AZ33">
            <v>541.54</v>
          </cell>
          <cell r="BA33">
            <v>1083.08</v>
          </cell>
          <cell r="BB33">
            <v>920.62</v>
          </cell>
          <cell r="BC33">
            <v>1543.39</v>
          </cell>
        </row>
        <row r="34">
          <cell r="C34" t="str">
            <v>Excellus SB Plus Standard Gold </v>
          </cell>
          <cell r="H34" t="str">
            <v>Hybrid</v>
          </cell>
          <cell r="I34">
            <v>600</v>
          </cell>
          <cell r="J34">
            <v>1200</v>
          </cell>
          <cell r="K34">
            <v>4000</v>
          </cell>
          <cell r="L34">
            <v>8000</v>
          </cell>
          <cell r="M34">
            <v>0</v>
          </cell>
          <cell r="N34" t="str">
            <v>$25 Copay, subject to deductible</v>
          </cell>
          <cell r="O34" t="str">
            <v>$40 Copay, subject to deductible</v>
          </cell>
          <cell r="P34" t="str">
            <v>$60 Copay, subject to deductible</v>
          </cell>
          <cell r="Q34" t="str">
            <v>Lab: $40/ X-Ray: $40, subject to deductible</v>
          </cell>
          <cell r="R34" t="str">
            <v>$150 Copay, subject to deductible</v>
          </cell>
          <cell r="S34" t="str">
            <v>$150 Copay, subject to deductible</v>
          </cell>
          <cell r="T34" t="str">
            <v>$1,000 Copay, subject to deductible</v>
          </cell>
          <cell r="U34" t="str">
            <v>$100 Copay, subject to deductible</v>
          </cell>
          <cell r="V34" t="str">
            <v>$1,000 Copay, subject to deductible</v>
          </cell>
          <cell r="W34" t="str">
            <v>$40 Copay, subject to deductible</v>
          </cell>
          <cell r="X34" t="str">
            <v>$1,000 Copay, subject to deductible</v>
          </cell>
          <cell r="Y34" t="str">
            <v>$25 Copay, subject to deductible</v>
          </cell>
          <cell r="Z34" t="str">
            <v>$25 Copay, subject to deductible</v>
          </cell>
          <cell r="AA34" t="str">
            <v>$25 Copay, subject to deductible</v>
          </cell>
          <cell r="AB34" t="str">
            <v>$40 Copay, subject to deductible</v>
          </cell>
          <cell r="AC34" t="str">
            <v>$30 Copay, subject to deductible, for up to 60 visits per contract year</v>
          </cell>
          <cell r="AD34" t="str">
            <v>Pediatric: $25 copay, subject to deductible, for one routine exam per year</v>
          </cell>
          <cell r="AE34" t="str">
            <v>Pediatric: Covered at 80%, subject to deductible</v>
          </cell>
          <cell r="AF34" t="str">
            <v>Covered at 80%, subject to deductible</v>
          </cell>
          <cell r="AG34" t="str">
            <v>N/A</v>
          </cell>
          <cell r="AH34">
            <v>10</v>
          </cell>
          <cell r="AI34">
            <v>35</v>
          </cell>
          <cell r="AJ34">
            <v>70</v>
          </cell>
          <cell r="AK34" t="str">
            <v>Yes</v>
          </cell>
          <cell r="AL34" t="str">
            <v>Embedded</v>
          </cell>
          <cell r="AM34" t="str">
            <v>$10, subject to deductible</v>
          </cell>
          <cell r="AN34">
            <v>625.88</v>
          </cell>
          <cell r="AO34">
            <v>1251.76</v>
          </cell>
          <cell r="AP34">
            <v>1064</v>
          </cell>
          <cell r="AQ34">
            <v>1783.76</v>
          </cell>
          <cell r="AR34">
            <v>638.4</v>
          </cell>
          <cell r="AS34">
            <v>1276.8</v>
          </cell>
          <cell r="AT34">
            <v>1085.28</v>
          </cell>
          <cell r="AU34">
            <v>1819.44</v>
          </cell>
          <cell r="AV34">
            <v>651.16999999999996</v>
          </cell>
          <cell r="AW34">
            <v>1302.3399999999999</v>
          </cell>
          <cell r="AX34">
            <v>1106.99</v>
          </cell>
          <cell r="AY34">
            <v>1855.83</v>
          </cell>
          <cell r="AZ34">
            <v>664.19</v>
          </cell>
          <cell r="BA34">
            <v>1328.38</v>
          </cell>
          <cell r="BB34">
            <v>1129.1199999999999</v>
          </cell>
          <cell r="BC34">
            <v>1892.94</v>
          </cell>
        </row>
        <row r="35">
          <cell r="C35" t="str">
            <v>Excellus SB Plus Standard Silver </v>
          </cell>
          <cell r="H35" t="str">
            <v>Hybrid</v>
          </cell>
          <cell r="I35">
            <v>1300</v>
          </cell>
          <cell r="J35">
            <v>2600</v>
          </cell>
          <cell r="K35">
            <v>7900</v>
          </cell>
          <cell r="L35">
            <v>15800</v>
          </cell>
          <cell r="M35">
            <v>0</v>
          </cell>
          <cell r="N35" t="str">
            <v>$30 Copay, subject to deductible</v>
          </cell>
          <cell r="O35" t="str">
            <v>$50 Copay, subject to deductible</v>
          </cell>
          <cell r="P35" t="str">
            <v>$70 Copay, subject to deductible</v>
          </cell>
          <cell r="Q35" t="str">
            <v>Lab: $50/ X-Ray: $50, subject to deductible</v>
          </cell>
          <cell r="R35" t="str">
            <v>$250 Copay, subject to deductible</v>
          </cell>
          <cell r="S35" t="str">
            <v>$150 Copay, subject to deductible</v>
          </cell>
          <cell r="T35" t="str">
            <v>$1,500 Copay, subject to deductible</v>
          </cell>
          <cell r="U35" t="str">
            <v>$150 Copay, subject to deductible</v>
          </cell>
          <cell r="V35" t="str">
            <v>$1,500 Copay, subject to deductible</v>
          </cell>
          <cell r="W35" t="str">
            <v>$50 Copay, subject to deductible</v>
          </cell>
          <cell r="X35" t="str">
            <v>$1,500 Copay, subject to deductible</v>
          </cell>
          <cell r="Y35" t="str">
            <v>$30 Copay, subject to deductible</v>
          </cell>
          <cell r="Z35" t="str">
            <v>$30 Copay, subject to deductible</v>
          </cell>
          <cell r="AA35" t="str">
            <v>$30 Copay, subject to deductible</v>
          </cell>
          <cell r="AB35" t="str">
            <v>$50 Copay, subject to deductible</v>
          </cell>
          <cell r="AC35" t="str">
            <v>$30 Copay, subject to deductible, for up to 60 visits per contract year</v>
          </cell>
          <cell r="AD35" t="str">
            <v>Pediatric: $30 copay, subject to deductible, for one routine exam per year</v>
          </cell>
          <cell r="AE35" t="str">
            <v>Pediatric: Covered at 70%, subject to deductible</v>
          </cell>
          <cell r="AF35" t="str">
            <v>Covered at 70%, subject to deductible</v>
          </cell>
          <cell r="AG35" t="str">
            <v>N/A</v>
          </cell>
          <cell r="AH35">
            <v>10</v>
          </cell>
          <cell r="AI35">
            <v>35</v>
          </cell>
          <cell r="AJ35">
            <v>70</v>
          </cell>
          <cell r="AK35" t="str">
            <v>Yes</v>
          </cell>
          <cell r="AL35" t="str">
            <v>Embedded</v>
          </cell>
          <cell r="AM35" t="str">
            <v>$10, subject to deductible</v>
          </cell>
          <cell r="AN35">
            <v>551.04999999999995</v>
          </cell>
          <cell r="AO35">
            <v>1102.0999999999999</v>
          </cell>
          <cell r="AP35">
            <v>936.79</v>
          </cell>
          <cell r="AQ35">
            <v>1570.49</v>
          </cell>
          <cell r="AR35">
            <v>562.07000000000005</v>
          </cell>
          <cell r="AS35">
            <v>1124.1400000000001</v>
          </cell>
          <cell r="AT35">
            <v>955.52</v>
          </cell>
          <cell r="AU35">
            <v>1601.9</v>
          </cell>
          <cell r="AV35">
            <v>573.30999999999995</v>
          </cell>
          <cell r="AW35">
            <v>1146.6199999999999</v>
          </cell>
          <cell r="AX35">
            <v>974.63</v>
          </cell>
          <cell r="AY35">
            <v>1633.93</v>
          </cell>
          <cell r="AZ35">
            <v>584.78</v>
          </cell>
          <cell r="BA35">
            <v>1169.56</v>
          </cell>
          <cell r="BB35">
            <v>994.13</v>
          </cell>
          <cell r="BC35">
            <v>1666.62</v>
          </cell>
        </row>
        <row r="37">
          <cell r="C37" t="str">
            <v>2020 MVP Plans</v>
          </cell>
        </row>
        <row r="38">
          <cell r="C38" t="str">
            <v>MVP SG Platinum 1</v>
          </cell>
          <cell r="D38">
            <v>462.55</v>
          </cell>
          <cell r="E38">
            <v>925.1</v>
          </cell>
          <cell r="F38">
            <v>786.34</v>
          </cell>
          <cell r="G38">
            <v>1318.27</v>
          </cell>
          <cell r="H38" t="str">
            <v>Copay</v>
          </cell>
          <cell r="I38" t="str">
            <v>N/A</v>
          </cell>
          <cell r="J38" t="str">
            <v>N/A</v>
          </cell>
          <cell r="K38">
            <v>2450</v>
          </cell>
          <cell r="L38">
            <v>4900</v>
          </cell>
          <cell r="M38" t="str">
            <v>As noted below</v>
          </cell>
          <cell r="N38" t="str">
            <v>$0 Copay first 3 visits; $5 Copay thereafter</v>
          </cell>
          <cell r="O38">
            <v>45</v>
          </cell>
          <cell r="P38">
            <v>45</v>
          </cell>
          <cell r="Q38" t="str">
            <v>Lab: $45 Copay/ X-Ray: $45 Copay</v>
          </cell>
          <cell r="R38">
            <v>100</v>
          </cell>
          <cell r="S38">
            <v>100</v>
          </cell>
          <cell r="T38">
            <v>300</v>
          </cell>
          <cell r="U38">
            <v>100</v>
          </cell>
          <cell r="V38" t="str">
            <v>Inpatient: $300 Copay; Physician: $100 Copay</v>
          </cell>
          <cell r="W38">
            <v>100</v>
          </cell>
          <cell r="X38">
            <v>300</v>
          </cell>
          <cell r="Y38" t="str">
            <v>$0 Copay first 3 visits; $5 Mental/$5 Chemical thereafter</v>
          </cell>
          <cell r="Z38">
            <v>45</v>
          </cell>
          <cell r="AA38">
            <v>45</v>
          </cell>
          <cell r="AB38">
            <v>45</v>
          </cell>
          <cell r="AC38" t="str">
            <v>$45 Copay for up to 54 visits per condition/year combined therapies</v>
          </cell>
          <cell r="AD38" t="str">
            <v>Adult: $45 Copay (one exam per every other Plan Year)/ Pediatric: $45 Copay (one exam per 12-month period)</v>
          </cell>
          <cell r="AE38" t="str">
            <v>Pediatric: Covered at 50%, for one purchase per year</v>
          </cell>
          <cell r="AF38" t="str">
            <v>Covered at 50%</v>
          </cell>
          <cell r="AG38" t="str">
            <v>N/A</v>
          </cell>
          <cell r="AH38">
            <v>5</v>
          </cell>
          <cell r="AI38">
            <v>30</v>
          </cell>
          <cell r="AJ38">
            <v>50</v>
          </cell>
          <cell r="AK38" t="str">
            <v>Yes</v>
          </cell>
          <cell r="AL38" t="str">
            <v>Embedded</v>
          </cell>
          <cell r="AM38">
            <v>5</v>
          </cell>
          <cell r="AN38">
            <v>789.84</v>
          </cell>
          <cell r="AO38">
            <v>1579.68</v>
          </cell>
          <cell r="AP38">
            <v>1342.73</v>
          </cell>
          <cell r="AQ38">
            <v>2251.04</v>
          </cell>
          <cell r="AR38">
            <v>804.85</v>
          </cell>
          <cell r="AS38">
            <v>1609.7</v>
          </cell>
          <cell r="AT38">
            <v>1368.25</v>
          </cell>
          <cell r="AU38">
            <v>2293.8200000000002</v>
          </cell>
          <cell r="AV38">
            <v>820.14</v>
          </cell>
          <cell r="AW38">
            <v>1640.28</v>
          </cell>
          <cell r="AX38">
            <v>1394.24</v>
          </cell>
          <cell r="AY38">
            <v>2337.4</v>
          </cell>
          <cell r="AZ38">
            <v>835.72</v>
          </cell>
          <cell r="BA38">
            <v>1671.44</v>
          </cell>
          <cell r="BB38">
            <v>1420.72</v>
          </cell>
          <cell r="BC38">
            <v>2381.8000000000002</v>
          </cell>
        </row>
        <row r="39">
          <cell r="C39" t="str">
            <v>MVP SG Platinum 2 HMO</v>
          </cell>
          <cell r="H39" t="str">
            <v>Copay</v>
          </cell>
          <cell r="I39" t="str">
            <v>N/A</v>
          </cell>
          <cell r="J39" t="str">
            <v>N/A</v>
          </cell>
          <cell r="K39">
            <v>2400</v>
          </cell>
          <cell r="L39">
            <v>4800</v>
          </cell>
          <cell r="M39" t="str">
            <v>As noted below</v>
          </cell>
          <cell r="N39">
            <v>10</v>
          </cell>
          <cell r="O39">
            <v>35</v>
          </cell>
          <cell r="P39">
            <v>35</v>
          </cell>
          <cell r="Q39" t="str">
            <v>Lab: $35 Copay/ X-Ray: $40 Copay</v>
          </cell>
          <cell r="R39">
            <v>200</v>
          </cell>
          <cell r="S39">
            <v>200</v>
          </cell>
          <cell r="T39">
            <v>300</v>
          </cell>
          <cell r="U39">
            <v>200</v>
          </cell>
          <cell r="V39" t="str">
            <v>Inpatient: $300 Copay; Physician: $100 Copay</v>
          </cell>
          <cell r="W39">
            <v>140</v>
          </cell>
          <cell r="X39">
            <v>300</v>
          </cell>
          <cell r="Y39" t="str">
            <v>$10 Mental/ $10 Chemical</v>
          </cell>
          <cell r="Z39">
            <v>35</v>
          </cell>
          <cell r="AA39">
            <v>35</v>
          </cell>
          <cell r="AB39">
            <v>35</v>
          </cell>
          <cell r="AC39" t="str">
            <v>$35 Copay for up to 54 visits per condition/year combined therapies</v>
          </cell>
          <cell r="AD39" t="str">
            <v>Adult: $35 Copay (one exam per every other Plan Year)/ Pediatric: $35 Copay (one exam per 12-month period)</v>
          </cell>
          <cell r="AE39" t="str">
            <v>Pediatric: Covered at 50%, for one purchase per year</v>
          </cell>
          <cell r="AF39" t="str">
            <v>Covered at 50%</v>
          </cell>
          <cell r="AG39" t="str">
            <v>N/A</v>
          </cell>
          <cell r="AH39">
            <v>5</v>
          </cell>
          <cell r="AI39">
            <v>30</v>
          </cell>
          <cell r="AJ39">
            <v>50</v>
          </cell>
          <cell r="AK39" t="str">
            <v>Yes</v>
          </cell>
          <cell r="AL39" t="str">
            <v>Embedded</v>
          </cell>
          <cell r="AM39">
            <v>10</v>
          </cell>
          <cell r="AN39">
            <v>756.72</v>
          </cell>
          <cell r="AO39">
            <v>1513.44</v>
          </cell>
          <cell r="AP39">
            <v>1286.42</v>
          </cell>
          <cell r="AQ39">
            <v>2156.65</v>
          </cell>
          <cell r="AR39">
            <v>768.83</v>
          </cell>
          <cell r="AS39">
            <v>1537.66</v>
          </cell>
          <cell r="AT39">
            <v>1307.01</v>
          </cell>
          <cell r="AU39">
            <v>2191.17</v>
          </cell>
          <cell r="AV39">
            <v>781.13</v>
          </cell>
          <cell r="AW39">
            <v>1562.26</v>
          </cell>
          <cell r="AX39">
            <v>1327.92</v>
          </cell>
          <cell r="AY39">
            <v>2226.2199999999998</v>
          </cell>
          <cell r="AZ39">
            <v>793.63</v>
          </cell>
          <cell r="BA39">
            <v>1587.26</v>
          </cell>
          <cell r="BB39">
            <v>1349.17</v>
          </cell>
          <cell r="BC39">
            <v>2261.85</v>
          </cell>
        </row>
        <row r="40">
          <cell r="C40" t="str">
            <v>MVP SG Platinum 6 HMO</v>
          </cell>
          <cell r="H40" t="str">
            <v>Copay</v>
          </cell>
          <cell r="I40" t="str">
            <v>N/A</v>
          </cell>
          <cell r="J40" t="str">
            <v>N/A</v>
          </cell>
          <cell r="K40">
            <v>2000</v>
          </cell>
          <cell r="L40">
            <v>4000</v>
          </cell>
          <cell r="M40" t="str">
            <v>As noted below</v>
          </cell>
          <cell r="N40">
            <v>15</v>
          </cell>
          <cell r="O40">
            <v>35</v>
          </cell>
          <cell r="P40">
            <v>55</v>
          </cell>
          <cell r="Q40" t="str">
            <v>Lab: $35 Copay/ X-Ray: $35 Copay</v>
          </cell>
          <cell r="R40">
            <v>100</v>
          </cell>
          <cell r="S40">
            <v>100</v>
          </cell>
          <cell r="T40">
            <v>500</v>
          </cell>
          <cell r="U40">
            <v>100</v>
          </cell>
          <cell r="V40" t="str">
            <v>Inpatient: $500 Copay; Physician: $100 Copay</v>
          </cell>
          <cell r="W40">
            <v>35</v>
          </cell>
          <cell r="X40">
            <v>500</v>
          </cell>
          <cell r="Y40" t="str">
            <v>$15 Mental/$15 Chemical</v>
          </cell>
          <cell r="Z40">
            <v>35</v>
          </cell>
          <cell r="AA40">
            <v>15</v>
          </cell>
          <cell r="AB40">
            <v>35</v>
          </cell>
          <cell r="AC40" t="str">
            <v>$25 Copay for up to 54 visits per condition/year combined therapies</v>
          </cell>
          <cell r="AD40" t="str">
            <v>Adult: $35 Copay (one exam per every other Plan Year)/ Pediatric: $15 Copay (one exam per 12-month period)</v>
          </cell>
          <cell r="AE40" t="str">
            <v>Pediatric: Covered at 90%, for one purchase per year</v>
          </cell>
          <cell r="AF40" t="str">
            <v>Covered at 90%</v>
          </cell>
          <cell r="AG40" t="str">
            <v>N/A</v>
          </cell>
          <cell r="AH40">
            <v>10</v>
          </cell>
          <cell r="AI40">
            <v>30</v>
          </cell>
          <cell r="AJ40">
            <v>60</v>
          </cell>
          <cell r="AK40" t="str">
            <v>Yes</v>
          </cell>
          <cell r="AL40" t="str">
            <v>Embedded</v>
          </cell>
          <cell r="AM40">
            <v>15</v>
          </cell>
          <cell r="AN40">
            <v>761.57</v>
          </cell>
          <cell r="AO40">
            <v>1523.14</v>
          </cell>
          <cell r="AP40">
            <v>1294.67</v>
          </cell>
          <cell r="AQ40">
            <v>2170.4699999999998</v>
          </cell>
          <cell r="AR40">
            <v>773.76</v>
          </cell>
          <cell r="AS40">
            <v>1547.52</v>
          </cell>
          <cell r="AT40">
            <v>1315.39</v>
          </cell>
          <cell r="AU40">
            <v>2205.2199999999998</v>
          </cell>
          <cell r="AV40">
            <v>786.14</v>
          </cell>
          <cell r="AW40">
            <v>1572.28</v>
          </cell>
          <cell r="AX40">
            <v>1336.44</v>
          </cell>
          <cell r="AY40">
            <v>2240.5</v>
          </cell>
          <cell r="AZ40">
            <v>798.72</v>
          </cell>
          <cell r="BA40">
            <v>1597.44</v>
          </cell>
          <cell r="BB40">
            <v>1357.82</v>
          </cell>
          <cell r="BC40">
            <v>2276.35</v>
          </cell>
        </row>
        <row r="41">
          <cell r="C41" t="str">
            <v>MVP SG Gold 1</v>
          </cell>
          <cell r="D41">
            <v>386.71</v>
          </cell>
          <cell r="E41">
            <v>773.42</v>
          </cell>
          <cell r="F41">
            <v>657.41</v>
          </cell>
          <cell r="G41">
            <v>1102.1199999999999</v>
          </cell>
          <cell r="H41" t="str">
            <v>Hybrid</v>
          </cell>
          <cell r="I41">
            <v>850</v>
          </cell>
          <cell r="J41">
            <v>1700</v>
          </cell>
          <cell r="K41">
            <v>7000</v>
          </cell>
          <cell r="L41">
            <v>14000</v>
          </cell>
          <cell r="M41" t="str">
            <v>As noted below</v>
          </cell>
          <cell r="N41" t="str">
            <v>$0 Copay first 3 visits; $15 Copay thereafter</v>
          </cell>
          <cell r="O41" t="str">
            <v>$50 Copay, subject to deductible</v>
          </cell>
          <cell r="P41">
            <v>50</v>
          </cell>
          <cell r="Q41" t="str">
            <v>Lab: $50 Copay, no deductible/ X-Ray: $60 Copay, subject to deductible</v>
          </cell>
          <cell r="R41">
            <v>300</v>
          </cell>
          <cell r="S41">
            <v>300</v>
          </cell>
          <cell r="T41" t="str">
            <v>$500 Copay, subject to deductible</v>
          </cell>
          <cell r="U41" t="str">
            <v>$200 Copay, subject to deductible</v>
          </cell>
          <cell r="V41" t="str">
            <v>Inpatient: $500 Copay; Physician: $100 Copay, subject to deductible</v>
          </cell>
          <cell r="W41" t="str">
            <v>$100 Copay, subject to deductible</v>
          </cell>
          <cell r="X41" t="str">
            <v>$500 Copay, subject to deductible</v>
          </cell>
          <cell r="Y41" t="str">
            <v>$0 Copay first 3 visits; $15 Mental/$15 Chemical thereafter</v>
          </cell>
          <cell r="Z41" t="str">
            <v>$50 Copay, subject to deductible</v>
          </cell>
          <cell r="AA41" t="str">
            <v>$50 Copay, subject to deductible</v>
          </cell>
          <cell r="AB41" t="str">
            <v>$50 Copay, subject to deductible</v>
          </cell>
          <cell r="AC41" t="str">
            <v>$50 Copay, subject to deductible, for up to 54 visits per condition/year combined therapies</v>
          </cell>
          <cell r="AD41" t="str">
            <v>Adult: $50 Copay (one exam per every other Plan Year)/ Pediatric: $50 Copay (one exam per 12-month period)</v>
          </cell>
          <cell r="AE41" t="str">
            <v>Pediatric: Covered at 50%, subject to deductible for one purchase per year</v>
          </cell>
          <cell r="AF41" t="str">
            <v>Covered at 50%, subject to deductible</v>
          </cell>
          <cell r="AG41" t="str">
            <v>$200/$400 Brand deductible</v>
          </cell>
          <cell r="AH41">
            <v>10</v>
          </cell>
          <cell r="AI41">
            <v>35</v>
          </cell>
          <cell r="AJ41">
            <v>70</v>
          </cell>
          <cell r="AK41" t="str">
            <v>Yes</v>
          </cell>
          <cell r="AL41" t="str">
            <v>Embedded</v>
          </cell>
          <cell r="AM41">
            <v>15</v>
          </cell>
          <cell r="AN41">
            <v>666.07</v>
          </cell>
          <cell r="AO41">
            <v>1332.14</v>
          </cell>
          <cell r="AP41">
            <v>1132.32</v>
          </cell>
          <cell r="AQ41">
            <v>1898.3</v>
          </cell>
          <cell r="AR41">
            <v>678.73</v>
          </cell>
          <cell r="AS41">
            <v>1357.46</v>
          </cell>
          <cell r="AT41">
            <v>1153.8399999999999</v>
          </cell>
          <cell r="AU41">
            <v>1934.38</v>
          </cell>
          <cell r="AV41">
            <v>691.63</v>
          </cell>
          <cell r="AW41">
            <v>1383.26</v>
          </cell>
          <cell r="AX41">
            <v>1175.77</v>
          </cell>
          <cell r="AY41">
            <v>1971.15</v>
          </cell>
          <cell r="AZ41">
            <v>704.77</v>
          </cell>
          <cell r="BA41">
            <v>1409.54</v>
          </cell>
          <cell r="BB41">
            <v>1198.1099999999999</v>
          </cell>
          <cell r="BC41">
            <v>2008.59</v>
          </cell>
        </row>
        <row r="42">
          <cell r="C42" t="str">
            <v>MVP SG Gold 2</v>
          </cell>
          <cell r="D42">
            <v>367.76</v>
          </cell>
          <cell r="E42">
            <v>735.52</v>
          </cell>
          <cell r="F42">
            <v>625.19000000000005</v>
          </cell>
          <cell r="G42">
            <v>1048.1199999999999</v>
          </cell>
          <cell r="H42" t="str">
            <v>Hybrid</v>
          </cell>
          <cell r="I42">
            <v>1600</v>
          </cell>
          <cell r="J42">
            <v>3200</v>
          </cell>
          <cell r="K42">
            <v>5000</v>
          </cell>
          <cell r="L42">
            <v>10000</v>
          </cell>
          <cell r="M42" t="str">
            <v>As noted below</v>
          </cell>
          <cell r="N42" t="str">
            <v>$10 Copay, subject to deductible</v>
          </cell>
          <cell r="O42" t="str">
            <v>$20 Copay, subject to deductible</v>
          </cell>
          <cell r="P42" t="str">
            <v>$20 Copay, subject to deductible</v>
          </cell>
          <cell r="Q42" t="str">
            <v>Lab: $20 Copay/ X-Ray: $20 Copay; subject to deductible</v>
          </cell>
          <cell r="R42" t="str">
            <v>$75 Copay, subject to deductible</v>
          </cell>
          <cell r="S42" t="str">
            <v>$75 Copay, subject to deductible</v>
          </cell>
          <cell r="T42" t="str">
            <v>$200 Copay, subject to deductible</v>
          </cell>
          <cell r="U42" t="str">
            <v>$200 Copay, subject to deductible</v>
          </cell>
          <cell r="V42" t="str">
            <v>Inpatient: $200 Copay; Physician: $25 Copay, subject to deductible</v>
          </cell>
          <cell r="W42" t="str">
            <v>$75 Copay, subject to deductible</v>
          </cell>
          <cell r="X42" t="str">
            <v>$200 Copay, subject to deductible</v>
          </cell>
          <cell r="Y42" t="str">
            <v>$10 Mental/$10 Chemical, subject to deductible</v>
          </cell>
          <cell r="Z42" t="str">
            <v>$20 Copay, subject to deductible</v>
          </cell>
          <cell r="AA42" t="str">
            <v>$20 Copay, subject to deductible</v>
          </cell>
          <cell r="AB42" t="str">
            <v>$20 Copay, subject to deductible</v>
          </cell>
          <cell r="AC42" t="str">
            <v>$20 Copay, subject to deductible, for up to 54 visits per condition/year combined therapies</v>
          </cell>
          <cell r="AD42" t="str">
            <v>Adult: $20 Copay (one exam per every other Plan Year)/ Pediatric: $20 Copay (one exam per 12-month period)</v>
          </cell>
          <cell r="AE42" t="str">
            <v>Pediatric: Covered at 50%, subject to deductible for one purchase per year</v>
          </cell>
          <cell r="AF42" t="str">
            <v>Covered at 50%, subject to deductible</v>
          </cell>
          <cell r="AG42" t="str">
            <v>Subject to plan deductible (except preventive drugs)</v>
          </cell>
          <cell r="AH42">
            <v>10</v>
          </cell>
          <cell r="AI42">
            <v>30</v>
          </cell>
          <cell r="AJ42">
            <v>50</v>
          </cell>
          <cell r="AK42" t="str">
            <v>Yes</v>
          </cell>
          <cell r="AL42" t="str">
            <v>Aggregate</v>
          </cell>
          <cell r="AM42" t="str">
            <v>$10, subject to deductible</v>
          </cell>
          <cell r="AN42">
            <v>632.27</v>
          </cell>
          <cell r="AO42">
            <v>1264.54</v>
          </cell>
          <cell r="AP42">
            <v>1074.8599999999999</v>
          </cell>
          <cell r="AQ42">
            <v>1801.97</v>
          </cell>
          <cell r="AR42">
            <v>644.28</v>
          </cell>
          <cell r="AS42">
            <v>1288.56</v>
          </cell>
          <cell r="AT42">
            <v>1095.28</v>
          </cell>
          <cell r="AU42">
            <v>1836.2</v>
          </cell>
          <cell r="AV42">
            <v>656.52</v>
          </cell>
          <cell r="AW42">
            <v>1313.04</v>
          </cell>
          <cell r="AX42">
            <v>1116.08</v>
          </cell>
          <cell r="AY42">
            <v>1871.08</v>
          </cell>
          <cell r="AZ42">
            <v>668.99</v>
          </cell>
          <cell r="BA42">
            <v>1337.98</v>
          </cell>
          <cell r="BB42">
            <v>1137.28</v>
          </cell>
          <cell r="BC42">
            <v>1906.62</v>
          </cell>
        </row>
        <row r="43">
          <cell r="C43" t="str">
            <v>MVP SG Gold 3</v>
          </cell>
          <cell r="D43">
            <v>382.09</v>
          </cell>
          <cell r="E43">
            <v>764.18</v>
          </cell>
          <cell r="F43">
            <v>649.54999999999995</v>
          </cell>
          <cell r="G43">
            <v>1088.96</v>
          </cell>
          <cell r="H43" t="str">
            <v>Hybrid</v>
          </cell>
          <cell r="I43">
            <v>800</v>
          </cell>
          <cell r="J43">
            <v>1600</v>
          </cell>
          <cell r="K43">
            <v>5000</v>
          </cell>
          <cell r="L43">
            <v>10000</v>
          </cell>
          <cell r="M43" t="str">
            <v>As noted below</v>
          </cell>
          <cell r="N43" t="str">
            <v>$20 Copay, subject to deductible</v>
          </cell>
          <cell r="O43" t="str">
            <v>$40 Copay, subject to deductible</v>
          </cell>
          <cell r="P43" t="str">
            <v>$40 Copay, subject to deductible</v>
          </cell>
          <cell r="Q43" t="str">
            <v>Lab: $40 Copay/ X-Ray: $40 Copay; subject to deductible</v>
          </cell>
          <cell r="R43" t="str">
            <v>$300 Copay, subject to deductible</v>
          </cell>
          <cell r="S43" t="str">
            <v>$300 Copay, subject to deductible</v>
          </cell>
          <cell r="T43" t="str">
            <v>$800 Copay, subject to deductible</v>
          </cell>
          <cell r="U43" t="str">
            <v>$100 Copay, subject to deductible</v>
          </cell>
          <cell r="V43" t="str">
            <v>Inpatient: $800 Copay; Physician: $50 Copay, subject to deductible</v>
          </cell>
          <cell r="W43" t="str">
            <v>$140 Copay, subject to deductible</v>
          </cell>
          <cell r="X43" t="str">
            <v>$800 Copay, subject to deductible</v>
          </cell>
          <cell r="Y43" t="str">
            <v>$20 Mental/$20 Chemical, subject to deductible</v>
          </cell>
          <cell r="Z43" t="str">
            <v>$40 Copay, subject to deductible</v>
          </cell>
          <cell r="AA43" t="str">
            <v>$40 Copay, subject to deductible</v>
          </cell>
          <cell r="AB43" t="str">
            <v>$40 Copay, subject to deductible</v>
          </cell>
          <cell r="AC43" t="str">
            <v>$40 Copay, subject to deductible, for up to 54 visits per condition/year combined therapies</v>
          </cell>
          <cell r="AD43" t="str">
            <v>Adult: $40 Copay (one exam per every other Plan Year)/ Pediatric: $40 Copay (one exam per 12-month period)</v>
          </cell>
          <cell r="AE43" t="str">
            <v>Pediatric: Covered at 50%, subject to deductible for one purchase per year</v>
          </cell>
          <cell r="AF43" t="str">
            <v>Covered at 50%, subject to deductible</v>
          </cell>
          <cell r="AG43" t="str">
            <v>N/A</v>
          </cell>
          <cell r="AH43">
            <v>10</v>
          </cell>
          <cell r="AI43">
            <v>35</v>
          </cell>
          <cell r="AJ43">
            <v>0.5</v>
          </cell>
          <cell r="AK43" t="str">
            <v>Yes</v>
          </cell>
          <cell r="AL43" t="str">
            <v>Embedded</v>
          </cell>
          <cell r="AM43" t="str">
            <v>$20, subject to deductible</v>
          </cell>
          <cell r="AN43">
            <v>656.09</v>
          </cell>
          <cell r="AO43">
            <v>1312.18</v>
          </cell>
          <cell r="AP43">
            <v>1115.3499999999999</v>
          </cell>
          <cell r="AQ43">
            <v>1869.86</v>
          </cell>
          <cell r="AR43">
            <v>668.56</v>
          </cell>
          <cell r="AS43">
            <v>1337.12</v>
          </cell>
          <cell r="AT43">
            <v>1136.55</v>
          </cell>
          <cell r="AU43">
            <v>1905.4</v>
          </cell>
          <cell r="AV43">
            <v>681.26</v>
          </cell>
          <cell r="AW43">
            <v>1362.52</v>
          </cell>
          <cell r="AX43">
            <v>1158.1400000000001</v>
          </cell>
          <cell r="AY43">
            <v>1941.59</v>
          </cell>
          <cell r="AZ43">
            <v>694.2</v>
          </cell>
          <cell r="BA43">
            <v>1388.4</v>
          </cell>
          <cell r="BB43">
            <v>1180.1400000000001</v>
          </cell>
          <cell r="BC43">
            <v>1978.47</v>
          </cell>
        </row>
        <row r="44">
          <cell r="C44" t="str">
            <v>MVP SG Silver 1</v>
          </cell>
          <cell r="D44">
            <v>313.56</v>
          </cell>
          <cell r="E44">
            <v>627.12</v>
          </cell>
          <cell r="F44">
            <v>533.04999999999995</v>
          </cell>
          <cell r="G44">
            <v>893.65</v>
          </cell>
          <cell r="H44" t="str">
            <v>Hybrid</v>
          </cell>
          <cell r="I44">
            <v>2100</v>
          </cell>
          <cell r="J44">
            <v>4200</v>
          </cell>
          <cell r="K44">
            <v>7050</v>
          </cell>
          <cell r="L44">
            <v>14100</v>
          </cell>
          <cell r="M44" t="str">
            <v>As noted below</v>
          </cell>
          <cell r="N44">
            <v>30</v>
          </cell>
          <cell r="O44" t="str">
            <v>$50 Copay, subject to deductible</v>
          </cell>
          <cell r="P44" t="str">
            <v>$50 Copay, subject to deductible</v>
          </cell>
          <cell r="Q44" t="str">
            <v>Lab: PCP: $30 Copay/ Specialist: $50; no deductible; X-Ray: PCP: $30 Copay/ Specialist: $125, subject to deductible</v>
          </cell>
          <cell r="R44" t="str">
            <v>$350 Copay, subject to deductible</v>
          </cell>
          <cell r="S44" t="str">
            <v>$350 Copay, subject to deductible</v>
          </cell>
          <cell r="T44" t="str">
            <v>Covered at 80%, subject to deductible</v>
          </cell>
          <cell r="U44" t="str">
            <v>$300 Copay, subject to deductible</v>
          </cell>
          <cell r="V44" t="str">
            <v>Inpatient: Covered at 80%, subject to deductible</v>
          </cell>
          <cell r="W44" t="str">
            <v>$225 Copay, subject to deductible</v>
          </cell>
          <cell r="X44" t="str">
            <v>Covered at 80%, subject to deductible</v>
          </cell>
          <cell r="Y44" t="str">
            <v>$30 Mental/$30 Chemical</v>
          </cell>
          <cell r="Z44" t="str">
            <v>$50 Copay, subject to deductible</v>
          </cell>
          <cell r="AA44" t="str">
            <v>$50 Copay, subject to deductible</v>
          </cell>
          <cell r="AB44" t="str">
            <v>$50 Copay, subject to deductible</v>
          </cell>
          <cell r="AC44" t="str">
            <v>$50 Copay, subject to deductible, for up to 54 visits per condition/year combined therapies</v>
          </cell>
          <cell r="AD44" t="str">
            <v>Adult: $50 Copay (one exam per every other Plan Year)/ Pediatric: $50 Copay (one exam per 12-month period)</v>
          </cell>
          <cell r="AE44" t="str">
            <v>Pediatric: Covered at 50%, subject to deductible for one purchase per year</v>
          </cell>
          <cell r="AF44" t="str">
            <v>Covered at 50%, subject to deductible</v>
          </cell>
          <cell r="AG44" t="str">
            <v>$100/$200 Brand deductible</v>
          </cell>
          <cell r="AH44">
            <v>15</v>
          </cell>
          <cell r="AI44">
            <v>35</v>
          </cell>
          <cell r="AJ44">
            <v>70</v>
          </cell>
          <cell r="AK44" t="str">
            <v>Yes</v>
          </cell>
          <cell r="AL44" t="str">
            <v>Embedded</v>
          </cell>
          <cell r="AM44">
            <v>30</v>
          </cell>
          <cell r="AN44">
            <v>567.41999999999996</v>
          </cell>
          <cell r="AO44">
            <v>1134.8399999999999</v>
          </cell>
          <cell r="AP44">
            <v>964.61</v>
          </cell>
          <cell r="AQ44">
            <v>1617.15</v>
          </cell>
          <cell r="AR44">
            <v>578.20000000000005</v>
          </cell>
          <cell r="AS44">
            <v>1156.4000000000001</v>
          </cell>
          <cell r="AT44">
            <v>982.94</v>
          </cell>
          <cell r="AU44">
            <v>1647.87</v>
          </cell>
          <cell r="AV44">
            <v>589.19000000000005</v>
          </cell>
          <cell r="AW44">
            <v>1178.3800000000001</v>
          </cell>
          <cell r="AX44">
            <v>1001.62</v>
          </cell>
          <cell r="AY44">
            <v>1679.19</v>
          </cell>
          <cell r="AZ44">
            <v>600.38</v>
          </cell>
          <cell r="BA44">
            <v>1200.76</v>
          </cell>
          <cell r="BB44">
            <v>1020.65</v>
          </cell>
          <cell r="BC44">
            <v>1711.08</v>
          </cell>
        </row>
        <row r="45">
          <cell r="C45" t="str">
            <v>MVP SG Silver 3</v>
          </cell>
          <cell r="D45">
            <v>325.47000000000003</v>
          </cell>
          <cell r="E45">
            <v>650.94000000000005</v>
          </cell>
          <cell r="F45">
            <v>553.29999999999995</v>
          </cell>
          <cell r="G45">
            <v>927.59</v>
          </cell>
          <cell r="H45" t="str">
            <v>Hybrid</v>
          </cell>
          <cell r="I45">
            <v>2200</v>
          </cell>
          <cell r="J45">
            <v>4400</v>
          </cell>
          <cell r="K45">
            <v>5200</v>
          </cell>
          <cell r="L45">
            <v>10400</v>
          </cell>
          <cell r="M45" t="str">
            <v>As noted below</v>
          </cell>
          <cell r="N45" t="str">
            <v>$25 Copay, subject to deductible</v>
          </cell>
          <cell r="O45" t="str">
            <v>$50 Copay, subject to deductible</v>
          </cell>
          <cell r="P45" t="str">
            <v>$50 Copay, subject to deductible</v>
          </cell>
          <cell r="Q45" t="str">
            <v>PCP: $25 Copay; Specialist: $50 Copay, subject to deductible</v>
          </cell>
          <cell r="R45" t="str">
            <v>$300 Copay, subject to deductible</v>
          </cell>
          <cell r="S45" t="str">
            <v>$300 Copay, subject to deductible</v>
          </cell>
          <cell r="T45" t="str">
            <v>$500 Copay, subject to deductible</v>
          </cell>
          <cell r="U45" t="str">
            <v>$200 Copay, subject to deductible</v>
          </cell>
          <cell r="V45" t="str">
            <v>Inpatient: $500 Copay; Physician: $100 Copay, subject to deductible</v>
          </cell>
          <cell r="W45" t="str">
            <v>$150 Copay, subject to deductible</v>
          </cell>
          <cell r="X45" t="str">
            <v>$500 Copay, subject to deductible</v>
          </cell>
          <cell r="Y45" t="str">
            <v>$25 Mental/$25 Chemical, subject to deductible</v>
          </cell>
          <cell r="Z45" t="str">
            <v>$50 Copay, subject to deductible</v>
          </cell>
          <cell r="AA45" t="str">
            <v>$50 Copay, subject to deductible</v>
          </cell>
          <cell r="AB45" t="str">
            <v>$50 Copay, subject to deductible</v>
          </cell>
          <cell r="AC45" t="str">
            <v>$50 Copay, subject to deductible, for up to 54 visits per condition/year combined therapies</v>
          </cell>
          <cell r="AD45" t="str">
            <v>Adult: $50 Copay (one exam per every other Plan Year)/ Pediatric: $50 Copay (one exam per 12-month period)</v>
          </cell>
          <cell r="AE45" t="str">
            <v>Pediatric: Covered at 50%, subject to deductible, for one purchase per year</v>
          </cell>
          <cell r="AF45" t="str">
            <v>Covered at 50%, subject to deductible</v>
          </cell>
          <cell r="AG45" t="str">
            <v>Subject to plan deductible (except preventive drugs)</v>
          </cell>
          <cell r="AH45">
            <v>15</v>
          </cell>
          <cell r="AI45">
            <v>40</v>
          </cell>
          <cell r="AJ45">
            <v>60</v>
          </cell>
          <cell r="AK45" t="str">
            <v>Yes</v>
          </cell>
          <cell r="AL45" t="str">
            <v>Aggregate</v>
          </cell>
          <cell r="AM45" t="str">
            <v>$25, subject to deductible</v>
          </cell>
          <cell r="AN45">
            <v>551.41</v>
          </cell>
          <cell r="AO45">
            <v>1102.82</v>
          </cell>
          <cell r="AP45">
            <v>937.4</v>
          </cell>
          <cell r="AQ45">
            <v>1571.52</v>
          </cell>
          <cell r="AR45">
            <v>561.89</v>
          </cell>
          <cell r="AS45">
            <v>1123.78</v>
          </cell>
          <cell r="AT45">
            <v>955.21</v>
          </cell>
          <cell r="AU45">
            <v>1601.39</v>
          </cell>
          <cell r="AV45">
            <v>572.57000000000005</v>
          </cell>
          <cell r="AW45">
            <v>1145.1400000000001</v>
          </cell>
          <cell r="AX45">
            <v>973.37</v>
          </cell>
          <cell r="AY45">
            <v>1631.82</v>
          </cell>
          <cell r="AZ45">
            <v>583.45000000000005</v>
          </cell>
          <cell r="BA45">
            <v>1166.9000000000001</v>
          </cell>
          <cell r="BB45">
            <v>991.87</v>
          </cell>
          <cell r="BC45">
            <v>1662.83</v>
          </cell>
        </row>
        <row r="46">
          <cell r="C46" t="str">
            <v>MVP SG Silver 4</v>
          </cell>
          <cell r="D46">
            <v>303.42</v>
          </cell>
          <cell r="E46">
            <v>606.84</v>
          </cell>
          <cell r="F46">
            <v>515.80999999999995</v>
          </cell>
          <cell r="G46">
            <v>864.75</v>
          </cell>
          <cell r="H46" t="str">
            <v>Hybrid</v>
          </cell>
          <cell r="I46">
            <v>2500</v>
          </cell>
          <cell r="J46">
            <v>5000</v>
          </cell>
          <cell r="K46">
            <v>6350</v>
          </cell>
          <cell r="L46">
            <v>12700</v>
          </cell>
          <cell r="M46" t="str">
            <v>As noted below</v>
          </cell>
          <cell r="N46" t="str">
            <v>$20 Copay, subject to deductible</v>
          </cell>
          <cell r="O46" t="str">
            <v>$50 Copay, subject to deductible</v>
          </cell>
          <cell r="P46" t="str">
            <v>$50 Copay, subject to deductible</v>
          </cell>
          <cell r="Q46" t="str">
            <v>Lab: $50 Copay/ X-Ray: $80 Copay; subject to deductible</v>
          </cell>
          <cell r="R46" t="str">
            <v>$300 Copay, subject to deductible</v>
          </cell>
          <cell r="S46" t="str">
            <v>$300 Copay, subject to deductible</v>
          </cell>
          <cell r="T46" t="str">
            <v>$800 Copay, subject to deductible</v>
          </cell>
          <cell r="U46" t="str">
            <v>$200 Copay, subject to deductible</v>
          </cell>
          <cell r="V46" t="str">
            <v>Inpatient: $800 Copay; Physician: $100 Copay, subject to deductible</v>
          </cell>
          <cell r="W46" t="str">
            <v>$180 Copay, subject to deductible</v>
          </cell>
          <cell r="X46" t="str">
            <v>$800 Copay, subject to deductible</v>
          </cell>
          <cell r="Y46" t="str">
            <v>$20 Mental/$20 Chemical, subject to deductible</v>
          </cell>
          <cell r="Z46" t="str">
            <v>$50 Copay, subject to deductible</v>
          </cell>
          <cell r="AA46" t="str">
            <v>$50 Copay, subject to deductible</v>
          </cell>
          <cell r="AB46" t="str">
            <v>$50 Copay, subject to deductible</v>
          </cell>
          <cell r="AC46" t="str">
            <v>$50 Copay, subject to deductible, for up to 54 visits per condition/year combined therapies</v>
          </cell>
          <cell r="AD46" t="str">
            <v>Adult: $50 Copay (one exam per every other Plan Year)/ Pediatric: $50 Copay (one exam per 12-month period)</v>
          </cell>
          <cell r="AE46" t="str">
            <v>Pediatric: Covered at 50%, subject to deductible, for one purchase per year</v>
          </cell>
          <cell r="AF46" t="str">
            <v>Covered at 50%, subject to deductible</v>
          </cell>
          <cell r="AG46" t="str">
            <v>N/A</v>
          </cell>
          <cell r="AH46">
            <v>10</v>
          </cell>
          <cell r="AI46">
            <v>35</v>
          </cell>
          <cell r="AJ46">
            <v>0.5</v>
          </cell>
          <cell r="AK46" t="str">
            <v>Yes</v>
          </cell>
          <cell r="AL46" t="str">
            <v>Embedded</v>
          </cell>
          <cell r="AM46" t="str">
            <v>$20, subject to deductible</v>
          </cell>
          <cell r="AN46">
            <v>541.11</v>
          </cell>
          <cell r="AO46">
            <v>1082.22</v>
          </cell>
          <cell r="AP46">
            <v>919.89</v>
          </cell>
          <cell r="AQ46">
            <v>1542.16</v>
          </cell>
          <cell r="AR46">
            <v>551.39</v>
          </cell>
          <cell r="AS46">
            <v>1102.78</v>
          </cell>
          <cell r="AT46">
            <v>937.36</v>
          </cell>
          <cell r="AU46">
            <v>1571.46</v>
          </cell>
          <cell r="AV46">
            <v>561.87</v>
          </cell>
          <cell r="AW46">
            <v>1123.74</v>
          </cell>
          <cell r="AX46">
            <v>955.18</v>
          </cell>
          <cell r="AY46">
            <v>1601.33</v>
          </cell>
          <cell r="AZ46">
            <v>572.54999999999995</v>
          </cell>
          <cell r="BA46">
            <v>1145.0999999999999</v>
          </cell>
          <cell r="BB46">
            <v>973.34</v>
          </cell>
          <cell r="BC46">
            <v>1631.77</v>
          </cell>
        </row>
        <row r="47">
          <cell r="C47" t="str">
            <v>MVP SG Bronze 2</v>
          </cell>
          <cell r="D47">
            <v>262.23</v>
          </cell>
          <cell r="E47">
            <v>524.46</v>
          </cell>
          <cell r="F47">
            <v>445.79</v>
          </cell>
          <cell r="G47">
            <v>747.36</v>
          </cell>
          <cell r="H47" t="str">
            <v>Hybrid</v>
          </cell>
          <cell r="I47">
            <v>5000</v>
          </cell>
          <cell r="J47">
            <v>10000</v>
          </cell>
          <cell r="K47">
            <v>8000</v>
          </cell>
          <cell r="L47">
            <v>16000</v>
          </cell>
          <cell r="M47" t="str">
            <v>As noted below</v>
          </cell>
          <cell r="N47" t="str">
            <v>$0 Copay first 3 visits; $35 Copay thereafter, subject to deductible</v>
          </cell>
          <cell r="O47" t="str">
            <v>$60 Copay, subject to deductible</v>
          </cell>
          <cell r="P47" t="str">
            <v>$60 Copay, subject to deductible</v>
          </cell>
          <cell r="Q47" t="str">
            <v>Lab: $60 Copay/ X-Ray: $60 Copay; subject to deductible</v>
          </cell>
          <cell r="R47" t="str">
            <v>$350 Copay, subject to deductible</v>
          </cell>
          <cell r="S47" t="str">
            <v>$350 Copay, subject to deductible</v>
          </cell>
          <cell r="T47" t="str">
            <v>Covered at 70%, subject to deductible</v>
          </cell>
          <cell r="U47" t="str">
            <v>$300 Copay, subject to deductible</v>
          </cell>
          <cell r="V47" t="str">
            <v>Inpatient: Covered at 70%; subject to deductible</v>
          </cell>
          <cell r="W47" t="str">
            <v>$60 Copay, subject to deductible</v>
          </cell>
          <cell r="X47" t="str">
            <v>Covered at 70%, subject to deductible</v>
          </cell>
          <cell r="Y47" t="str">
            <v xml:space="preserve">$0 Copay first 3 visits; $35 Mental/$35 Chemical thereafter, subject to deductible </v>
          </cell>
          <cell r="Z47" t="str">
            <v>$60 Copay, subject to deductible</v>
          </cell>
          <cell r="AA47" t="str">
            <v>$60 Copay, subject to deductible</v>
          </cell>
          <cell r="AB47" t="str">
            <v>$60 Copay, subject to deductible</v>
          </cell>
          <cell r="AC47" t="str">
            <v>$60 Copay, subject to deductible, for up to 54 visits per condition/year combined therapies</v>
          </cell>
          <cell r="AD47" t="str">
            <v>Adult: $60 Copay (one exam per every other Plan Year)/ Pediatric: $60 Copay (one exam per 12-month period); subject to deductible</v>
          </cell>
          <cell r="AE47" t="str">
            <v>Pediatric: Covered at 50%, subject to deductible, for one purchase per year</v>
          </cell>
          <cell r="AF47" t="str">
            <v>Covered at 50%, subject to deductible</v>
          </cell>
          <cell r="AG47" t="str">
            <v>Subject to plan deductible</v>
          </cell>
          <cell r="AH47">
            <v>10</v>
          </cell>
          <cell r="AI47">
            <v>40</v>
          </cell>
          <cell r="AJ47">
            <v>60</v>
          </cell>
          <cell r="AK47" t="str">
            <v>Yes</v>
          </cell>
          <cell r="AL47" t="str">
            <v>Embedded</v>
          </cell>
          <cell r="AM47" t="str">
            <v>$35, subject to deductible</v>
          </cell>
          <cell r="AN47">
            <v>439.94</v>
          </cell>
          <cell r="AO47">
            <v>879.88</v>
          </cell>
          <cell r="AP47">
            <v>747.9</v>
          </cell>
          <cell r="AQ47">
            <v>1253.83</v>
          </cell>
          <cell r="AR47">
            <v>448.3</v>
          </cell>
          <cell r="AS47">
            <v>896.6</v>
          </cell>
          <cell r="AT47">
            <v>762.11</v>
          </cell>
          <cell r="AU47">
            <v>1277.6600000000001</v>
          </cell>
          <cell r="AV47">
            <v>456.82</v>
          </cell>
          <cell r="AW47">
            <v>913.64</v>
          </cell>
          <cell r="AX47">
            <v>776.59</v>
          </cell>
          <cell r="AY47">
            <v>1301.94</v>
          </cell>
          <cell r="AZ47">
            <v>442.95</v>
          </cell>
          <cell r="BA47">
            <v>885.9</v>
          </cell>
          <cell r="BB47">
            <v>753.02</v>
          </cell>
          <cell r="BC47">
            <v>1262.4100000000001</v>
          </cell>
        </row>
        <row r="48">
          <cell r="C48" t="str">
            <v>MVP SG Bronze 3</v>
          </cell>
          <cell r="D48">
            <v>249.81</v>
          </cell>
          <cell r="E48">
            <v>499.62</v>
          </cell>
          <cell r="F48">
            <v>424.68</v>
          </cell>
          <cell r="G48">
            <v>711.96</v>
          </cell>
          <cell r="H48" t="str">
            <v>Hybrid</v>
          </cell>
          <cell r="I48">
            <v>5900</v>
          </cell>
          <cell r="J48">
            <v>11800</v>
          </cell>
          <cell r="K48">
            <v>6750</v>
          </cell>
          <cell r="L48">
            <v>13500</v>
          </cell>
          <cell r="M48" t="str">
            <v>As noted below</v>
          </cell>
          <cell r="N48" t="str">
            <v>$30 Copay, subject to deductible</v>
          </cell>
          <cell r="O48" t="str">
            <v>$50 Copay, subject to deductible</v>
          </cell>
          <cell r="P48" t="str">
            <v>$50 Copay, subject to deductible</v>
          </cell>
          <cell r="Q48" t="str">
            <v>Lab: $50 Copay/ X-Ray: $100 Copay; subject to deductible</v>
          </cell>
          <cell r="R48" t="str">
            <v>$300 Copay, subject to deductible</v>
          </cell>
          <cell r="S48" t="str">
            <v>$300 Copay, subject to deductible</v>
          </cell>
          <cell r="T48" t="str">
            <v>Covered at 70%, subject to deductible</v>
          </cell>
          <cell r="U48" t="str">
            <v>$100 Copay, subject to deductible</v>
          </cell>
          <cell r="V48" t="str">
            <v>Inpatient: Covered at 70%, subject to deductible</v>
          </cell>
          <cell r="W48" t="str">
            <v>$200 Copay, subject to deductible</v>
          </cell>
          <cell r="X48" t="str">
            <v>Covered at 70%, subject to deductible</v>
          </cell>
          <cell r="Y48" t="str">
            <v>$30 Mental/$30 Chemical, subject to deductible</v>
          </cell>
          <cell r="Z48" t="str">
            <v>$50 Copay, subject to deductible</v>
          </cell>
          <cell r="AA48" t="str">
            <v>$50 Copay, subject to deductible</v>
          </cell>
          <cell r="AB48" t="str">
            <v>$50 Copay, subject to deductible</v>
          </cell>
          <cell r="AC48" t="str">
            <v>$50 Copay, subject to deductible, for up to 54 visits per condition/year combined therapies</v>
          </cell>
          <cell r="AD48" t="str">
            <v>Adult: $50 Copay (one exam per every other Plan Year)/ Pediatric: $50 Copay (one exam per 12-month period)</v>
          </cell>
          <cell r="AE48" t="str">
            <v>Pediatric: Covered at 50%, subject to deductible, for one purchase per year</v>
          </cell>
          <cell r="AF48" t="str">
            <v>Covered at 50%, subject to deductible</v>
          </cell>
          <cell r="AG48" t="str">
            <v>Subject to plan deductible (except preventive drugs)</v>
          </cell>
          <cell r="AH48">
            <v>10</v>
          </cell>
          <cell r="AI48">
            <v>40</v>
          </cell>
          <cell r="AJ48">
            <v>60</v>
          </cell>
          <cell r="AK48" t="str">
            <v>Yes</v>
          </cell>
          <cell r="AL48" t="str">
            <v>Embedded</v>
          </cell>
          <cell r="AM48" t="str">
            <v>$30, subject to deductible</v>
          </cell>
          <cell r="AN48">
            <v>452.75</v>
          </cell>
          <cell r="AO48">
            <v>905.5</v>
          </cell>
          <cell r="AP48">
            <v>769.68</v>
          </cell>
          <cell r="AQ48">
            <v>1290.3399999999999</v>
          </cell>
          <cell r="AR48">
            <v>461.35</v>
          </cell>
          <cell r="AS48">
            <v>922.7</v>
          </cell>
          <cell r="AT48">
            <v>784.3</v>
          </cell>
          <cell r="AU48">
            <v>1314.85</v>
          </cell>
          <cell r="AV48">
            <v>470.12</v>
          </cell>
          <cell r="AW48">
            <v>940.24</v>
          </cell>
          <cell r="AX48">
            <v>799.2</v>
          </cell>
          <cell r="AY48">
            <v>1339.84</v>
          </cell>
          <cell r="AZ48">
            <v>479.05</v>
          </cell>
          <cell r="BA48">
            <v>958.1</v>
          </cell>
          <cell r="BB48">
            <v>814.39</v>
          </cell>
          <cell r="BC48">
            <v>1365.29</v>
          </cell>
        </row>
        <row r="49">
          <cell r="C49" t="str">
            <v>MVP SG Bronze 5</v>
          </cell>
          <cell r="D49">
            <v>253.67</v>
          </cell>
          <cell r="E49">
            <v>507.34</v>
          </cell>
          <cell r="F49">
            <v>431.24</v>
          </cell>
          <cell r="G49">
            <v>722.96</v>
          </cell>
          <cell r="H49" t="str">
            <v>HDHP</v>
          </cell>
          <cell r="I49">
            <v>5350</v>
          </cell>
          <cell r="J49">
            <v>10700</v>
          </cell>
          <cell r="K49">
            <v>6750</v>
          </cell>
          <cell r="L49">
            <v>13500</v>
          </cell>
          <cell r="M49" t="str">
            <v>As noted below</v>
          </cell>
          <cell r="N49" t="str">
            <v>$5 Copay, subject to deductible</v>
          </cell>
          <cell r="O49" t="str">
            <v>Covered at 50%, subject to deductible</v>
          </cell>
          <cell r="P49" t="str">
            <v>Covered at 50%, subject to deductible</v>
          </cell>
          <cell r="Q49" t="str">
            <v>PCP: $5 Copay; Specialist: Covered at 50%, subject to deductible</v>
          </cell>
          <cell r="R49" t="str">
            <v>$100 Copay, subject to deductible</v>
          </cell>
          <cell r="S49" t="str">
            <v>$100 Copay, subject to deductible</v>
          </cell>
          <cell r="T49" t="str">
            <v>Covered at 50%, subject to deductible</v>
          </cell>
          <cell r="U49" t="str">
            <v>Covered at 50%, subject to deductible</v>
          </cell>
          <cell r="V49" t="str">
            <v>Covered at 50%, subject to deductible</v>
          </cell>
          <cell r="W49" t="str">
            <v>Covered at 50%, subject to deductible</v>
          </cell>
          <cell r="X49" t="str">
            <v>Covered at 50%, subject to deductible</v>
          </cell>
          <cell r="Y49" t="str">
            <v>$5 Mental/$5 Chemical, subject to deductible</v>
          </cell>
          <cell r="Z49" t="str">
            <v>Covered at 50%, subject to deductible</v>
          </cell>
          <cell r="AA49" t="str">
            <v>Covered at 50%, subject to deductible</v>
          </cell>
          <cell r="AB49" t="str">
            <v>Covered at 50%, subject to deductible</v>
          </cell>
          <cell r="AC49" t="str">
            <v>Covered at 50%, subject to deductible, for up to 54 visits per condition/year combined therapies</v>
          </cell>
          <cell r="AD49" t="str">
            <v>Adult: Covered at 50% (one exam per every other Plan Year)/ Pediatric: Covered at 50% (one exam per 12-month period); subject to deductible</v>
          </cell>
          <cell r="AE49" t="str">
            <v>Pediatric: Covered at 50%, subject to deductible, for one purchase per year</v>
          </cell>
          <cell r="AF49" t="str">
            <v>Covered at 50%, subject to deductible</v>
          </cell>
          <cell r="AG49" t="str">
            <v>Subject to plan deductible (except preventive drugs)</v>
          </cell>
          <cell r="AH49">
            <v>5</v>
          </cell>
          <cell r="AI49">
            <v>30</v>
          </cell>
          <cell r="AJ49">
            <v>0.5</v>
          </cell>
          <cell r="AK49" t="str">
            <v>Yes</v>
          </cell>
          <cell r="AL49" t="str">
            <v>Embedded</v>
          </cell>
          <cell r="AM49" t="str">
            <v>$5, subject to deductible</v>
          </cell>
          <cell r="AN49">
            <v>450.25</v>
          </cell>
          <cell r="AO49">
            <v>900.5</v>
          </cell>
          <cell r="AP49">
            <v>765.43</v>
          </cell>
          <cell r="AQ49">
            <v>1283.21</v>
          </cell>
          <cell r="AR49">
            <v>458.8</v>
          </cell>
          <cell r="AS49">
            <v>917.6</v>
          </cell>
          <cell r="AT49">
            <v>779.96</v>
          </cell>
          <cell r="AU49">
            <v>1307.58</v>
          </cell>
          <cell r="AV49">
            <v>467.52</v>
          </cell>
          <cell r="AW49">
            <v>935.04</v>
          </cell>
          <cell r="AX49">
            <v>794.78</v>
          </cell>
          <cell r="AY49">
            <v>1332.43</v>
          </cell>
          <cell r="AZ49">
            <v>476.4</v>
          </cell>
          <cell r="BA49">
            <v>952.8</v>
          </cell>
          <cell r="BB49">
            <v>809.88</v>
          </cell>
          <cell r="BC49">
            <v>1357.74</v>
          </cell>
        </row>
        <row r="50">
          <cell r="C50" t="str">
            <v>MVP SG Bronze 6</v>
          </cell>
          <cell r="D50">
            <v>325.47000000000003</v>
          </cell>
          <cell r="E50">
            <v>650.94000000000005</v>
          </cell>
          <cell r="F50">
            <v>553.29999999999995</v>
          </cell>
          <cell r="G50">
            <v>927.59</v>
          </cell>
          <cell r="H50" t="str">
            <v>HDHP</v>
          </cell>
          <cell r="I50">
            <v>6750</v>
          </cell>
          <cell r="J50">
            <v>13500</v>
          </cell>
          <cell r="K50">
            <v>6750</v>
          </cell>
          <cell r="L50">
            <v>13500</v>
          </cell>
          <cell r="M50" t="str">
            <v>As noted below</v>
          </cell>
          <cell r="N50" t="str">
            <v>Covered at 100%, subject to deductible</v>
          </cell>
          <cell r="O50" t="str">
            <v>Covered at 100%, subject to deductible</v>
          </cell>
          <cell r="P50" t="str">
            <v>Covered at 100%, subject to deductible</v>
          </cell>
          <cell r="Q50" t="str">
            <v>Covered at 100%, subject to deductible</v>
          </cell>
          <cell r="R50" t="str">
            <v>Covered at 100%, subject to deductible</v>
          </cell>
          <cell r="S50" t="str">
            <v>Covered at 100%, subject to deductible</v>
          </cell>
          <cell r="T50" t="str">
            <v>Covered at 100%, subject to deductible</v>
          </cell>
          <cell r="U50" t="str">
            <v>Covered at 100%, subject to deductible</v>
          </cell>
          <cell r="V50" t="str">
            <v>Covered at 100%, subject to deductible</v>
          </cell>
          <cell r="W50" t="str">
            <v>Covered at 100%, subject to deductible</v>
          </cell>
          <cell r="X50" t="str">
            <v>Covered at 100%, subject to deductible</v>
          </cell>
          <cell r="Y50" t="str">
            <v>Covered at 100%, subject to deductible</v>
          </cell>
          <cell r="Z50" t="str">
            <v>Covered at 100%, subject to deductible</v>
          </cell>
          <cell r="AA50" t="str">
            <v>Covered at 100%, subject to deductible</v>
          </cell>
          <cell r="AB50" t="str">
            <v>Covered at 100%, subject to deductible</v>
          </cell>
          <cell r="AC50" t="str">
            <v>Covered at 100%, subject to deductible, for up to 54 visits per condition/year combined therapies</v>
          </cell>
          <cell r="AD50" t="str">
            <v>Adult: Covered at 100% (one exam per every other Plan Year)/ Pediatric: Covered at 100% (one exam per 12-month period); subject to deductible</v>
          </cell>
          <cell r="AE50" t="str">
            <v>Pediatric: Covered at 100%, subject to deductible, for one purchase per year</v>
          </cell>
          <cell r="AF50" t="str">
            <v>Covered at 100%, subject to deductible</v>
          </cell>
          <cell r="AG50" t="str">
            <v>Subject to plan deductible (except preventive drugs)</v>
          </cell>
          <cell r="AH50">
            <v>0</v>
          </cell>
          <cell r="AI50">
            <v>0</v>
          </cell>
          <cell r="AJ50">
            <v>0</v>
          </cell>
          <cell r="AK50" t="str">
            <v>Yes</v>
          </cell>
          <cell r="AL50" t="str">
            <v>Embedded</v>
          </cell>
          <cell r="AM50" t="str">
            <v>$0, subject to deductible</v>
          </cell>
          <cell r="AN50">
            <v>467.99</v>
          </cell>
          <cell r="AO50">
            <v>935.98</v>
          </cell>
          <cell r="AP50">
            <v>795.58</v>
          </cell>
          <cell r="AQ50">
            <v>1333.77</v>
          </cell>
          <cell r="AR50">
            <v>476.88</v>
          </cell>
          <cell r="AS50">
            <v>953.76</v>
          </cell>
          <cell r="AT50">
            <v>810.7</v>
          </cell>
          <cell r="AU50">
            <v>1359.11</v>
          </cell>
          <cell r="AV50">
            <v>485.94</v>
          </cell>
          <cell r="AW50">
            <v>971.88</v>
          </cell>
          <cell r="AX50">
            <v>826.1</v>
          </cell>
          <cell r="AY50">
            <v>1384.93</v>
          </cell>
          <cell r="AZ50">
            <v>495.17</v>
          </cell>
          <cell r="BA50">
            <v>990.34</v>
          </cell>
          <cell r="BB50">
            <v>841.79</v>
          </cell>
          <cell r="BC50">
            <v>1411.23</v>
          </cell>
        </row>
        <row r="51">
          <cell r="C51" t="str">
            <v>MVP SG Bronze 7</v>
          </cell>
          <cell r="H51" t="str">
            <v>HDHP</v>
          </cell>
          <cell r="I51">
            <v>4800</v>
          </cell>
          <cell r="J51">
            <v>9600</v>
          </cell>
          <cell r="K51">
            <v>6750</v>
          </cell>
          <cell r="L51">
            <v>13500</v>
          </cell>
          <cell r="M51" t="str">
            <v>As noted below</v>
          </cell>
          <cell r="N51" t="str">
            <v>Covered at 60%, subject to deductible</v>
          </cell>
          <cell r="O51" t="str">
            <v>Covered at 60%, subject to deductible</v>
          </cell>
          <cell r="P51" t="str">
            <v>Covered at 60%, subject to deductible</v>
          </cell>
          <cell r="Q51" t="str">
            <v>Covered at 60%, subject to deductible</v>
          </cell>
          <cell r="R51" t="str">
            <v>Covered at 60%, subject to deductible</v>
          </cell>
          <cell r="S51" t="str">
            <v>Covered at 60%, subject to deductible</v>
          </cell>
          <cell r="T51" t="str">
            <v>Covered at 60%, subject to deductible</v>
          </cell>
          <cell r="U51" t="str">
            <v>Covered at 60%, subject to deductible</v>
          </cell>
          <cell r="V51" t="str">
            <v>Covered at 60%, subject to deductible</v>
          </cell>
          <cell r="W51" t="str">
            <v>Covered at 60%, subject to deductible</v>
          </cell>
          <cell r="X51" t="str">
            <v>Covered at 60%, subject to deductible</v>
          </cell>
          <cell r="Y51" t="str">
            <v>Covered at 60%, subject to deductible</v>
          </cell>
          <cell r="Z51" t="str">
            <v>Covered at 60%, subject to deductible</v>
          </cell>
          <cell r="AA51" t="str">
            <v>Covered at 60%, subject to deductible</v>
          </cell>
          <cell r="AB51" t="str">
            <v>Covered at 60%, subject to deductible</v>
          </cell>
          <cell r="AC51" t="str">
            <v>Covered at 60%, subject to deductible, for up to 54 visits per condition/year combined therapies</v>
          </cell>
          <cell r="AD51" t="str">
            <v>Adult: Covered at 60% (one exam per every other Plan Year)/ Pediatric: Covered at 60% (one exam per 12-month period); subject to deductible</v>
          </cell>
          <cell r="AE51" t="str">
            <v>Pediatric: Covered at 60%, subject to deductible, for one purchase per year</v>
          </cell>
          <cell r="AF51" t="str">
            <v>Covered at 60%, subject to deductible</v>
          </cell>
          <cell r="AG51" t="str">
            <v>Subject to plan deductible (except preventive drugs)</v>
          </cell>
          <cell r="AH51">
            <v>10</v>
          </cell>
          <cell r="AI51">
            <v>40</v>
          </cell>
          <cell r="AJ51">
            <v>60</v>
          </cell>
          <cell r="AK51" t="str">
            <v>Yes</v>
          </cell>
          <cell r="AL51" t="str">
            <v>Embedded</v>
          </cell>
          <cell r="AM51" t="str">
            <v>Covered at 60%, subject to deductible</v>
          </cell>
          <cell r="AN51">
            <v>439.64</v>
          </cell>
          <cell r="AO51">
            <v>879.28</v>
          </cell>
          <cell r="AP51">
            <v>747.39</v>
          </cell>
          <cell r="AQ51">
            <v>1252.97</v>
          </cell>
          <cell r="AR51">
            <v>447.99</v>
          </cell>
          <cell r="AS51">
            <v>895.98</v>
          </cell>
          <cell r="AT51">
            <v>761.58</v>
          </cell>
          <cell r="AU51">
            <v>1276.77</v>
          </cell>
          <cell r="AV51">
            <v>456.5</v>
          </cell>
          <cell r="AW51">
            <v>913</v>
          </cell>
          <cell r="AX51">
            <v>776.05</v>
          </cell>
          <cell r="AY51">
            <v>1301.03</v>
          </cell>
          <cell r="AZ51">
            <v>465.17</v>
          </cell>
          <cell r="BA51">
            <v>930.34</v>
          </cell>
          <cell r="BB51">
            <v>790.79</v>
          </cell>
          <cell r="BC51">
            <v>1325.73</v>
          </cell>
        </row>
        <row r="52">
          <cell r="C52" t="str">
            <v>MVP SG Gold 7</v>
          </cell>
          <cell r="H52" t="str">
            <v>HDHP</v>
          </cell>
          <cell r="I52">
            <v>1400</v>
          </cell>
          <cell r="J52">
            <v>2800</v>
          </cell>
          <cell r="K52">
            <v>2800</v>
          </cell>
          <cell r="L52">
            <v>5600</v>
          </cell>
          <cell r="M52" t="str">
            <v>As noted below</v>
          </cell>
          <cell r="N52" t="str">
            <v>Covered at 85%, subject to deductible</v>
          </cell>
          <cell r="O52" t="str">
            <v>Covered at 85%, subject to deductible</v>
          </cell>
          <cell r="P52" t="str">
            <v>Covered at 85%, subject to deductible</v>
          </cell>
          <cell r="Q52" t="str">
            <v>Covered at 85%, subject to deductible</v>
          </cell>
          <cell r="R52" t="str">
            <v>Covered at 85%, subject to deductible</v>
          </cell>
          <cell r="S52" t="str">
            <v>Covered at 85%, subject to deductible</v>
          </cell>
          <cell r="T52" t="str">
            <v>Covered at 85%, subject to deductible</v>
          </cell>
          <cell r="U52" t="str">
            <v>Covered at 85%, subject to deductible</v>
          </cell>
          <cell r="V52" t="str">
            <v>Covered at 85%, subject to deductible</v>
          </cell>
          <cell r="W52" t="str">
            <v>Covered at 85%, subject to deductible</v>
          </cell>
          <cell r="X52" t="str">
            <v>Covered at 85%, subject to deductible</v>
          </cell>
          <cell r="Y52" t="str">
            <v>Covered at 85%, subject to deductible</v>
          </cell>
          <cell r="Z52" t="str">
            <v>Covered at 85%, subject to deductible</v>
          </cell>
          <cell r="AA52" t="str">
            <v>Covered at 85%, subject to deductible</v>
          </cell>
          <cell r="AB52" t="str">
            <v>Covered at 85%, subject to deductible</v>
          </cell>
          <cell r="AC52" t="str">
            <v>Covered at 85%, subject to deductible, for up to 54 visits per condition/year combined therapies</v>
          </cell>
          <cell r="AD52" t="str">
            <v>Adult: Covered at 85% (one exam per every other Plan Year)/ Pediatric: Covered at 85% (one exam per 12-month period); subject to deductible</v>
          </cell>
          <cell r="AE52" t="str">
            <v>Pediatric: Covered at 85%, subject to deductible, for one purchase per year</v>
          </cell>
          <cell r="AF52" t="str">
            <v>Covered at 85%, subject to deductible</v>
          </cell>
          <cell r="AG52" t="str">
            <v>Subject to plan deductible (except preventive drugs)</v>
          </cell>
          <cell r="AH52">
            <v>5</v>
          </cell>
          <cell r="AI52">
            <v>35</v>
          </cell>
          <cell r="AJ52">
            <v>70</v>
          </cell>
          <cell r="AK52" t="str">
            <v>Yes</v>
          </cell>
          <cell r="AL52" t="str">
            <v>Aggregate</v>
          </cell>
          <cell r="AM52" t="str">
            <v>Covered at 85%, subject to deductible</v>
          </cell>
          <cell r="AN52">
            <v>631.69000000000005</v>
          </cell>
          <cell r="AO52">
            <v>1263.3800000000001</v>
          </cell>
          <cell r="AP52">
            <v>1073.8699999999999</v>
          </cell>
          <cell r="AQ52">
            <v>1800.32</v>
          </cell>
          <cell r="AR52">
            <v>643.69000000000005</v>
          </cell>
          <cell r="AS52">
            <v>1287.3800000000001</v>
          </cell>
          <cell r="AT52">
            <v>1094.27</v>
          </cell>
          <cell r="AU52">
            <v>1834.52</v>
          </cell>
          <cell r="AV52">
            <v>655.92</v>
          </cell>
          <cell r="AW52">
            <v>1311.84</v>
          </cell>
          <cell r="AX52">
            <v>1115.06</v>
          </cell>
          <cell r="AY52">
            <v>1869.37</v>
          </cell>
          <cell r="AZ52">
            <v>668.38</v>
          </cell>
          <cell r="BA52">
            <v>1336.76</v>
          </cell>
          <cell r="BB52">
            <v>1136.25</v>
          </cell>
          <cell r="BC52">
            <v>1904.88</v>
          </cell>
        </row>
        <row r="53">
          <cell r="C53" t="str">
            <v>MVP SG Gold 8</v>
          </cell>
          <cell r="H53" t="str">
            <v>HDHP</v>
          </cell>
          <cell r="I53">
            <v>4000</v>
          </cell>
          <cell r="J53">
            <v>8000</v>
          </cell>
          <cell r="K53">
            <v>8000</v>
          </cell>
          <cell r="L53">
            <v>16000</v>
          </cell>
          <cell r="M53" t="str">
            <v>As noted below</v>
          </cell>
          <cell r="N53">
            <v>40</v>
          </cell>
          <cell r="O53">
            <v>60</v>
          </cell>
          <cell r="P53">
            <v>60</v>
          </cell>
          <cell r="Q53" t="str">
            <v>Lab: $60 Copay/ X-Ray: $60 Copay</v>
          </cell>
          <cell r="R53">
            <v>300</v>
          </cell>
          <cell r="S53">
            <v>300</v>
          </cell>
          <cell r="T53" t="str">
            <v>Covered at 80%, subject to deductible</v>
          </cell>
          <cell r="U53" t="str">
            <v>Covered at 80%, subject to deductible</v>
          </cell>
          <cell r="V53" t="str">
            <v>Covered at 80%, subject to deductible</v>
          </cell>
          <cell r="W53">
            <v>150</v>
          </cell>
          <cell r="X53" t="str">
            <v>Covered at 80%, subject to deductible</v>
          </cell>
          <cell r="Y53" t="str">
            <v>$40 Mental/$40 Chemical</v>
          </cell>
          <cell r="Z53">
            <v>60</v>
          </cell>
          <cell r="AA53">
            <v>60</v>
          </cell>
          <cell r="AB53">
            <v>60</v>
          </cell>
          <cell r="AC53" t="str">
            <v>$60 Copay for up to 54 visits per condition/year combined therapies</v>
          </cell>
          <cell r="AD53" t="str">
            <v>Adult: $60 Copay (one exam per every other Plan Year)/ Pediatric: $60 Copay (one exam per 12-month period)</v>
          </cell>
          <cell r="AE53" t="str">
            <v>Pediatric: Covered at 50%, subject to deductible, for one purchase per year</v>
          </cell>
          <cell r="AF53" t="str">
            <v>Covered at 50%, subject to deductible</v>
          </cell>
          <cell r="AG53" t="str">
            <v>N/A</v>
          </cell>
          <cell r="AH53">
            <v>10</v>
          </cell>
          <cell r="AI53">
            <v>40</v>
          </cell>
          <cell r="AJ53">
            <v>60</v>
          </cell>
          <cell r="AK53" t="str">
            <v>Yes</v>
          </cell>
          <cell r="AL53" t="str">
            <v>Embedded</v>
          </cell>
          <cell r="AM53">
            <v>40</v>
          </cell>
          <cell r="AN53">
            <v>629.48</v>
          </cell>
          <cell r="AO53">
            <v>1258.96</v>
          </cell>
          <cell r="AP53">
            <v>1070.1199999999999</v>
          </cell>
          <cell r="AQ53">
            <v>1794.02</v>
          </cell>
          <cell r="AR53">
            <v>641.44000000000005</v>
          </cell>
          <cell r="AS53">
            <v>1282.8800000000001</v>
          </cell>
          <cell r="AT53">
            <v>1090.45</v>
          </cell>
          <cell r="AU53">
            <v>1828.1</v>
          </cell>
          <cell r="AV53">
            <v>653.63</v>
          </cell>
          <cell r="AW53">
            <v>1307.26</v>
          </cell>
          <cell r="AX53">
            <v>1111.17</v>
          </cell>
          <cell r="AY53">
            <v>1862.85</v>
          </cell>
          <cell r="AZ53">
            <v>666.05</v>
          </cell>
          <cell r="BA53">
            <v>1332.1</v>
          </cell>
          <cell r="BB53">
            <v>1132.29</v>
          </cell>
          <cell r="BC53">
            <v>1898.24</v>
          </cell>
        </row>
        <row r="54">
          <cell r="C54" t="str">
            <v>MVP SG Silver 2</v>
          </cell>
          <cell r="H54" t="str">
            <v>Hybrid</v>
          </cell>
          <cell r="I54">
            <v>3700</v>
          </cell>
          <cell r="J54">
            <v>7400</v>
          </cell>
          <cell r="K54">
            <v>8000</v>
          </cell>
          <cell r="L54">
            <v>16000</v>
          </cell>
          <cell r="M54" t="str">
            <v>As noted below</v>
          </cell>
          <cell r="N54" t="str">
            <v>$0 Copay first 3 visits; $40 Copay thereafter</v>
          </cell>
          <cell r="O54" t="str">
            <v>$70 Copay, subject to deductible</v>
          </cell>
          <cell r="P54">
            <v>70</v>
          </cell>
          <cell r="Q54" t="str">
            <v>Lab: $40 PCP/$70 Specialist; X-Ray: $40 PCP/$125 Specialist</v>
          </cell>
          <cell r="R54">
            <v>500</v>
          </cell>
          <cell r="S54">
            <v>500</v>
          </cell>
          <cell r="T54" t="str">
            <v>Covered at 80%, subject to deductible</v>
          </cell>
          <cell r="U54" t="str">
            <v>$200, subject to deductible</v>
          </cell>
          <cell r="V54" t="str">
            <v>Covered at 80%, subject to deductible</v>
          </cell>
          <cell r="W54" t="str">
            <v>$225 Copay, subject to deductible</v>
          </cell>
          <cell r="X54" t="str">
            <v>Covered at 80%, subject to deductible</v>
          </cell>
          <cell r="Y54" t="str">
            <v>$0 Copay first 3 visits - $40 Copay thereafter</v>
          </cell>
          <cell r="Z54" t="str">
            <v>$70 Copay, subject to deductible</v>
          </cell>
          <cell r="AA54" t="str">
            <v>$70 copay, subject to deductible</v>
          </cell>
          <cell r="AB54" t="str">
            <v>$70 Copay, subject to deductible</v>
          </cell>
          <cell r="AC54" t="str">
            <v>$70 Copay, subject to deductible, for up to 54 visits per condition/year combined therapies</v>
          </cell>
          <cell r="AD54" t="str">
            <v>Adult: $70 Copay (one exam per every other Plan Year)/ Pediatric: $70 Copay (one exam per 12-month period)</v>
          </cell>
          <cell r="AE54" t="str">
            <v>Pediatric: Covered at 50%, subject to deductible, for one purchase per year</v>
          </cell>
          <cell r="AF54" t="str">
            <v>Covered at 50%, subject to deductible</v>
          </cell>
          <cell r="AG54" t="str">
            <v>Subject to plan deductible</v>
          </cell>
          <cell r="AH54">
            <v>15</v>
          </cell>
          <cell r="AI54">
            <v>40</v>
          </cell>
          <cell r="AJ54">
            <v>70</v>
          </cell>
          <cell r="AK54" t="str">
            <v>Yes</v>
          </cell>
          <cell r="AL54" t="str">
            <v>Embedded</v>
          </cell>
          <cell r="AM54">
            <v>40</v>
          </cell>
          <cell r="AN54">
            <v>524.79</v>
          </cell>
          <cell r="AO54">
            <v>1049.58</v>
          </cell>
          <cell r="AP54">
            <v>892.14</v>
          </cell>
          <cell r="AQ54">
            <v>1495.65</v>
          </cell>
          <cell r="AR54">
            <v>534.76</v>
          </cell>
          <cell r="AS54">
            <v>1069.52</v>
          </cell>
          <cell r="AT54">
            <v>909.09</v>
          </cell>
          <cell r="AU54">
            <v>1524.07</v>
          </cell>
          <cell r="AV54">
            <v>544.91999999999996</v>
          </cell>
          <cell r="AW54">
            <v>1089.8399999999999</v>
          </cell>
          <cell r="AX54">
            <v>926.36</v>
          </cell>
          <cell r="AY54">
            <v>1553.02</v>
          </cell>
          <cell r="AZ54">
            <v>555.27</v>
          </cell>
          <cell r="BA54">
            <v>1110.54</v>
          </cell>
          <cell r="BB54">
            <v>943.96</v>
          </cell>
          <cell r="BC54">
            <v>1582.52</v>
          </cell>
        </row>
        <row r="55">
          <cell r="C55" t="str">
            <v>MVP SG Platinum 3</v>
          </cell>
          <cell r="D55">
            <v>462.55</v>
          </cell>
          <cell r="E55">
            <v>925.1</v>
          </cell>
          <cell r="F55">
            <v>786.34</v>
          </cell>
          <cell r="G55">
            <v>1318.27</v>
          </cell>
          <cell r="H55" t="str">
            <v>Copay</v>
          </cell>
          <cell r="I55" t="str">
            <v>N/A</v>
          </cell>
          <cell r="J55" t="str">
            <v>N/A</v>
          </cell>
          <cell r="K55">
            <v>2800</v>
          </cell>
          <cell r="L55">
            <v>5600</v>
          </cell>
          <cell r="M55" t="str">
            <v>As noted below</v>
          </cell>
          <cell r="N55">
            <v>40</v>
          </cell>
          <cell r="O55">
            <v>50</v>
          </cell>
          <cell r="P55">
            <v>50</v>
          </cell>
          <cell r="Q55" t="str">
            <v>PCP: $40 Copay, Specialist: $50 Copay</v>
          </cell>
          <cell r="R55">
            <v>200</v>
          </cell>
          <cell r="S55">
            <v>200</v>
          </cell>
          <cell r="T55">
            <v>300</v>
          </cell>
          <cell r="U55">
            <v>200</v>
          </cell>
          <cell r="V55" t="str">
            <v>Inpatient: $300 Copay; Physician: $50 Copay</v>
          </cell>
          <cell r="W55">
            <v>150</v>
          </cell>
          <cell r="X55">
            <v>300</v>
          </cell>
          <cell r="Y55" t="str">
            <v>$40 Mental/$40 Chemical</v>
          </cell>
          <cell r="Z55">
            <v>50</v>
          </cell>
          <cell r="AA55">
            <v>50</v>
          </cell>
          <cell r="AB55">
            <v>50</v>
          </cell>
          <cell r="AC55" t="str">
            <v>$50 Copay for up to 54 visits per condition/year combined therapies</v>
          </cell>
          <cell r="AD55" t="str">
            <v>Adult: $50 Copay (one exam per every other Plan Year)/ Pediatric: $50 Copay (one exam per 12-month period)</v>
          </cell>
          <cell r="AE55" t="str">
            <v>Pediatric: Covered at 50%, for one purchase per year</v>
          </cell>
          <cell r="AF55" t="str">
            <v>Covered at 50%</v>
          </cell>
          <cell r="AG55" t="str">
            <v>N/A</v>
          </cell>
          <cell r="AH55">
            <v>10</v>
          </cell>
          <cell r="AI55">
            <v>30</v>
          </cell>
          <cell r="AJ55">
            <v>50</v>
          </cell>
          <cell r="AK55" t="str">
            <v>Yes</v>
          </cell>
          <cell r="AL55" t="str">
            <v>Embedded</v>
          </cell>
          <cell r="AM55">
            <v>40</v>
          </cell>
          <cell r="AN55">
            <v>773.89</v>
          </cell>
          <cell r="AO55">
            <v>1547.78</v>
          </cell>
          <cell r="AP55">
            <v>1315.61</v>
          </cell>
          <cell r="AQ55">
            <v>2205.59</v>
          </cell>
          <cell r="AR55">
            <v>788.59</v>
          </cell>
          <cell r="AS55">
            <v>1577.18</v>
          </cell>
          <cell r="AT55">
            <v>1340.6</v>
          </cell>
          <cell r="AU55">
            <v>2247.48</v>
          </cell>
          <cell r="AV55">
            <v>803.57</v>
          </cell>
          <cell r="AW55">
            <v>1607.14</v>
          </cell>
          <cell r="AX55">
            <v>1366.07</v>
          </cell>
          <cell r="AY55">
            <v>2290.17</v>
          </cell>
          <cell r="AZ55">
            <v>818.84</v>
          </cell>
          <cell r="BA55">
            <v>1637.68</v>
          </cell>
          <cell r="BB55">
            <v>1392.03</v>
          </cell>
          <cell r="BC55">
            <v>2333.69</v>
          </cell>
        </row>
        <row r="56">
          <cell r="C56" t="str">
            <v>MVP SG Platinum 5</v>
          </cell>
          <cell r="D56">
            <v>462.55</v>
          </cell>
          <cell r="E56">
            <v>925.1</v>
          </cell>
          <cell r="F56">
            <v>786.34</v>
          </cell>
          <cell r="G56">
            <v>1318.27</v>
          </cell>
          <cell r="H56" t="str">
            <v>Copay</v>
          </cell>
          <cell r="I56" t="str">
            <v>N/A</v>
          </cell>
          <cell r="J56" t="str">
            <v>N/A</v>
          </cell>
          <cell r="K56">
            <v>3550</v>
          </cell>
          <cell r="L56">
            <v>7100</v>
          </cell>
          <cell r="M56" t="str">
            <v>As noted below</v>
          </cell>
          <cell r="N56">
            <v>15</v>
          </cell>
          <cell r="O56">
            <v>25</v>
          </cell>
          <cell r="P56">
            <v>25</v>
          </cell>
          <cell r="Q56" t="str">
            <v>Lab: $25 Copay/ X-Ray: $25 Copay</v>
          </cell>
          <cell r="R56">
            <v>200</v>
          </cell>
          <cell r="S56">
            <v>200</v>
          </cell>
          <cell r="T56">
            <v>550</v>
          </cell>
          <cell r="U56">
            <v>300</v>
          </cell>
          <cell r="V56" t="str">
            <v>Inpatient: $550 Copay</v>
          </cell>
          <cell r="W56">
            <v>50</v>
          </cell>
          <cell r="X56">
            <v>550</v>
          </cell>
          <cell r="Y56" t="str">
            <v>$15 Mental/$15 Chemical</v>
          </cell>
          <cell r="Z56">
            <v>25</v>
          </cell>
          <cell r="AA56">
            <v>25</v>
          </cell>
          <cell r="AB56">
            <v>25</v>
          </cell>
          <cell r="AC56" t="str">
            <v>$25 Copay for up to 54 visits per condition/year combined therapies</v>
          </cell>
          <cell r="AD56" t="str">
            <v>Adult: $25 Copay (one exam per every other Plan Year)/ Pediatric: $25 Copay (one exam per 12-month period)</v>
          </cell>
          <cell r="AE56" t="str">
            <v>Pediatric: Covered at 50%, for one purchase per year</v>
          </cell>
          <cell r="AF56" t="str">
            <v>Covered at 50%</v>
          </cell>
          <cell r="AG56" t="str">
            <v>N/A</v>
          </cell>
          <cell r="AH56">
            <v>10</v>
          </cell>
          <cell r="AI56">
            <v>40</v>
          </cell>
          <cell r="AJ56">
            <v>60</v>
          </cell>
          <cell r="AK56" t="str">
            <v>Yes</v>
          </cell>
          <cell r="AL56" t="str">
            <v>Embedded</v>
          </cell>
          <cell r="AM56">
            <v>15</v>
          </cell>
          <cell r="AN56">
            <v>785.57</v>
          </cell>
          <cell r="AO56">
            <v>1571.14</v>
          </cell>
          <cell r="AP56">
            <v>1335.47</v>
          </cell>
          <cell r="AQ56">
            <v>2238.87</v>
          </cell>
          <cell r="AR56">
            <v>800.5</v>
          </cell>
          <cell r="AS56">
            <v>1601</v>
          </cell>
          <cell r="AT56">
            <v>1360.85</v>
          </cell>
          <cell r="AU56">
            <v>2281.4299999999998</v>
          </cell>
          <cell r="AV56">
            <v>815.71</v>
          </cell>
          <cell r="AW56">
            <v>1631.42</v>
          </cell>
          <cell r="AX56">
            <v>1386.71</v>
          </cell>
          <cell r="AY56">
            <v>2324.77</v>
          </cell>
          <cell r="AZ56">
            <v>831.21</v>
          </cell>
          <cell r="BA56">
            <v>1662.42</v>
          </cell>
          <cell r="BB56">
            <v>1413.06</v>
          </cell>
          <cell r="BC56">
            <v>2368.9499999999998</v>
          </cell>
        </row>
        <row r="57">
          <cell r="C57" t="str">
            <v>MVP SG Gold 4</v>
          </cell>
          <cell r="D57">
            <v>462.55</v>
          </cell>
          <cell r="E57">
            <v>925.1</v>
          </cell>
          <cell r="F57">
            <v>786.34</v>
          </cell>
          <cell r="G57">
            <v>1318.27</v>
          </cell>
          <cell r="H57" t="str">
            <v>Copay</v>
          </cell>
          <cell r="I57" t="str">
            <v>N/A</v>
          </cell>
          <cell r="J57" t="str">
            <v>N/A</v>
          </cell>
          <cell r="K57">
            <v>6750</v>
          </cell>
          <cell r="L57">
            <v>13500</v>
          </cell>
          <cell r="M57" t="str">
            <v>As noted below</v>
          </cell>
          <cell r="N57">
            <v>40</v>
          </cell>
          <cell r="O57">
            <v>60</v>
          </cell>
          <cell r="P57">
            <v>60</v>
          </cell>
          <cell r="Q57" t="str">
            <v>Lab: $60 Copay/ X-Ray: $150 Copay</v>
          </cell>
          <cell r="R57">
            <v>500</v>
          </cell>
          <cell r="S57">
            <v>500</v>
          </cell>
          <cell r="T57">
            <v>750</v>
          </cell>
          <cell r="U57">
            <v>300</v>
          </cell>
          <cell r="V57" t="str">
            <v>Inpatient: $750 Copay</v>
          </cell>
          <cell r="W57">
            <v>150</v>
          </cell>
          <cell r="X57">
            <v>750</v>
          </cell>
          <cell r="Y57" t="str">
            <v>$40 Mental/$40 Chemical</v>
          </cell>
          <cell r="Z57">
            <v>60</v>
          </cell>
          <cell r="AA57">
            <v>60</v>
          </cell>
          <cell r="AB57">
            <v>60</v>
          </cell>
          <cell r="AC57" t="str">
            <v>$60 Copay for up to 54 visits per condition/year combined therapies</v>
          </cell>
          <cell r="AD57" t="str">
            <v>Adult: $60 Copay (one exam per every other Plan Year)/ Pediatric: $60 Copay (one exam per 12-month period)</v>
          </cell>
          <cell r="AE57" t="str">
            <v>Pediatric: Covered at 50%, for one purchase per year</v>
          </cell>
          <cell r="AF57" t="str">
            <v>Covered at 50%</v>
          </cell>
          <cell r="AG57" t="str">
            <v>N/A</v>
          </cell>
          <cell r="AH57">
            <v>10</v>
          </cell>
          <cell r="AI57">
            <v>40</v>
          </cell>
          <cell r="AJ57">
            <v>60</v>
          </cell>
          <cell r="AK57" t="str">
            <v>Yes</v>
          </cell>
          <cell r="AL57" t="str">
            <v>Embedded</v>
          </cell>
          <cell r="AM57">
            <v>40</v>
          </cell>
          <cell r="AN57">
            <v>690.14</v>
          </cell>
          <cell r="AO57">
            <v>1380.28</v>
          </cell>
          <cell r="AP57">
            <v>1173.24</v>
          </cell>
          <cell r="AQ57">
            <v>1966.9</v>
          </cell>
          <cell r="AR57">
            <v>703.25</v>
          </cell>
          <cell r="AS57">
            <v>1406.5</v>
          </cell>
          <cell r="AT57">
            <v>1195.53</v>
          </cell>
          <cell r="AU57">
            <v>2004.26</v>
          </cell>
          <cell r="AV57">
            <v>716.61</v>
          </cell>
          <cell r="AW57">
            <v>1433.22</v>
          </cell>
          <cell r="AX57">
            <v>1218.24</v>
          </cell>
          <cell r="AY57">
            <v>2042.34</v>
          </cell>
          <cell r="AZ57">
            <v>730.23</v>
          </cell>
          <cell r="BA57">
            <v>1460.46</v>
          </cell>
          <cell r="BB57">
            <v>1241.3900000000001</v>
          </cell>
          <cell r="BC57">
            <v>2081.16</v>
          </cell>
        </row>
        <row r="58">
          <cell r="C58" t="str">
            <v>MVP SG Gold 6</v>
          </cell>
          <cell r="D58">
            <v>386.71</v>
          </cell>
          <cell r="E58">
            <v>773.42</v>
          </cell>
          <cell r="F58">
            <v>657.41</v>
          </cell>
          <cell r="G58">
            <v>1102.1199999999999</v>
          </cell>
          <cell r="H58" t="str">
            <v>Hybrid</v>
          </cell>
          <cell r="I58">
            <v>350</v>
          </cell>
          <cell r="J58">
            <v>700</v>
          </cell>
          <cell r="K58">
            <v>6550</v>
          </cell>
          <cell r="L58">
            <v>13100</v>
          </cell>
          <cell r="M58" t="str">
            <v>As noted below</v>
          </cell>
          <cell r="N58">
            <v>30</v>
          </cell>
          <cell r="O58">
            <v>50</v>
          </cell>
          <cell r="P58">
            <v>50</v>
          </cell>
          <cell r="Q58" t="str">
            <v>Lab: $50 Copay/ X-Ray: $50 Copay</v>
          </cell>
          <cell r="R58">
            <v>100</v>
          </cell>
          <cell r="S58">
            <v>100</v>
          </cell>
          <cell r="T58" t="str">
            <v>$1,000 Copay, subject to deductible</v>
          </cell>
          <cell r="U58" t="str">
            <v>$300 Copay, subject to deductible</v>
          </cell>
          <cell r="V58" t="str">
            <v>Inpatient: $1,000 Copay; Physician: $100 Copay, subject to deductible</v>
          </cell>
          <cell r="W58" t="str">
            <v>$100 Copay, subject to deductible</v>
          </cell>
          <cell r="X58" t="str">
            <v>$1,000 Copay, subject to deductible</v>
          </cell>
          <cell r="Y58" t="str">
            <v>$30 Mental/$30 Chemical</v>
          </cell>
          <cell r="Z58">
            <v>50</v>
          </cell>
          <cell r="AA58">
            <v>50</v>
          </cell>
          <cell r="AB58">
            <v>50</v>
          </cell>
          <cell r="AC58" t="str">
            <v>$50 Copay for up to 54 visits per condition/year combined therapies</v>
          </cell>
          <cell r="AD58" t="str">
            <v>Adult: $50 Copay (one exam per every other Plan Year)/ Pediatric: $50 Copay (one exam per 12-month period)</v>
          </cell>
          <cell r="AE58" t="str">
            <v>Pediatric: Covered at 50%, subject to deductible, for one purchase per year</v>
          </cell>
          <cell r="AF58" t="str">
            <v>Covered at 50%, subject to deductible</v>
          </cell>
          <cell r="AG58" t="str">
            <v xml:space="preserve">N/A </v>
          </cell>
          <cell r="AH58">
            <v>10</v>
          </cell>
          <cell r="AI58">
            <v>40</v>
          </cell>
          <cell r="AJ58">
            <v>60</v>
          </cell>
          <cell r="AK58" t="str">
            <v>Yes</v>
          </cell>
          <cell r="AL58" t="str">
            <v>Embedded</v>
          </cell>
          <cell r="AM58">
            <v>30</v>
          </cell>
          <cell r="AN58">
            <v>696.28</v>
          </cell>
          <cell r="AO58">
            <v>1392.56</v>
          </cell>
          <cell r="AP58">
            <v>1183.68</v>
          </cell>
          <cell r="AQ58">
            <v>1984.4</v>
          </cell>
          <cell r="AR58">
            <v>709.51</v>
          </cell>
          <cell r="AS58">
            <v>1419.02</v>
          </cell>
          <cell r="AT58">
            <v>1206.17</v>
          </cell>
          <cell r="AU58">
            <v>2022.1</v>
          </cell>
          <cell r="AV58">
            <v>722.99</v>
          </cell>
          <cell r="AW58">
            <v>1445.98</v>
          </cell>
          <cell r="AX58">
            <v>1229.08</v>
          </cell>
          <cell r="AY58">
            <v>2060.52</v>
          </cell>
          <cell r="AZ58">
            <v>736.73</v>
          </cell>
          <cell r="BA58">
            <v>1473.46</v>
          </cell>
          <cell r="BB58">
            <v>1252.44</v>
          </cell>
          <cell r="BC58">
            <v>2099.6799999999998</v>
          </cell>
        </row>
        <row r="59">
          <cell r="C59" t="str">
            <v>MVP SG Gold PPO</v>
          </cell>
          <cell r="D59">
            <v>386.71</v>
          </cell>
          <cell r="E59">
            <v>773.42</v>
          </cell>
          <cell r="F59">
            <v>657.41</v>
          </cell>
          <cell r="G59">
            <v>1102.1199999999999</v>
          </cell>
          <cell r="H59" t="str">
            <v>Hybrid</v>
          </cell>
          <cell r="I59">
            <v>700</v>
          </cell>
          <cell r="J59">
            <v>1400</v>
          </cell>
          <cell r="K59">
            <v>7150</v>
          </cell>
          <cell r="L59">
            <v>14300</v>
          </cell>
          <cell r="M59" t="str">
            <v>As noted below</v>
          </cell>
          <cell r="N59">
            <v>40</v>
          </cell>
          <cell r="O59">
            <v>60</v>
          </cell>
          <cell r="P59" t="str">
            <v>$60 Copay, subject to deductible</v>
          </cell>
          <cell r="Q59" t="str">
            <v>Lab: $60 Copay/ X-Ray: $90 Copay</v>
          </cell>
          <cell r="R59" t="str">
            <v>$300 Copay, subject to deductible</v>
          </cell>
          <cell r="S59" t="str">
            <v>$300 Copay, subject to deductible</v>
          </cell>
          <cell r="T59" t="str">
            <v>$500 Copay, subject to deductible</v>
          </cell>
          <cell r="U59" t="str">
            <v>$300 Copay, subject to deductible</v>
          </cell>
          <cell r="V59" t="str">
            <v>Inpatient: $500 Copay; Physician: $0 Copay, subject to deductible</v>
          </cell>
          <cell r="W59" t="str">
            <v>$190 Copay, subject to deductible</v>
          </cell>
          <cell r="X59" t="str">
            <v>$500 Copay, subject to deductible</v>
          </cell>
          <cell r="Y59" t="str">
            <v>$40 Mental/$40 Chemical</v>
          </cell>
          <cell r="Z59">
            <v>60</v>
          </cell>
          <cell r="AA59">
            <v>60</v>
          </cell>
          <cell r="AB59">
            <v>60</v>
          </cell>
          <cell r="AC59" t="str">
            <v>$60 Copay for up to 54 visits per condition/year combined therapies</v>
          </cell>
          <cell r="AD59" t="str">
            <v>Adult: $60 Copay (one exam per every other Plan Year)/ Pediatric: $60 Copay (one exam per 12-month period)</v>
          </cell>
          <cell r="AE59" t="str">
            <v>Pediatric: Covered at 50%, subject to deductible, for one purchase per year</v>
          </cell>
          <cell r="AF59" t="str">
            <v>Covered at 50%, subject to deductible</v>
          </cell>
          <cell r="AG59" t="str">
            <v>N/A</v>
          </cell>
          <cell r="AH59">
            <v>10</v>
          </cell>
          <cell r="AI59">
            <v>40</v>
          </cell>
          <cell r="AJ59">
            <v>60</v>
          </cell>
          <cell r="AK59" t="str">
            <v>Yes</v>
          </cell>
          <cell r="AL59" t="str">
            <v>Embedded</v>
          </cell>
          <cell r="AM59">
            <v>40</v>
          </cell>
          <cell r="AN59">
            <v>699.93</v>
          </cell>
          <cell r="AO59">
            <v>1399.86</v>
          </cell>
          <cell r="AP59">
            <v>1189.8800000000001</v>
          </cell>
          <cell r="AQ59">
            <v>1994.8</v>
          </cell>
          <cell r="AR59">
            <v>713.23</v>
          </cell>
          <cell r="AS59">
            <v>1426.46</v>
          </cell>
          <cell r="AT59">
            <v>1212.49</v>
          </cell>
          <cell r="AU59">
            <v>2032.71</v>
          </cell>
          <cell r="AV59">
            <v>726.78</v>
          </cell>
          <cell r="AW59">
            <v>1453.56</v>
          </cell>
          <cell r="AX59">
            <v>1235.53</v>
          </cell>
          <cell r="AY59">
            <v>2071.3200000000002</v>
          </cell>
          <cell r="AZ59">
            <v>740.59</v>
          </cell>
          <cell r="BA59">
            <v>1481.18</v>
          </cell>
          <cell r="BB59">
            <v>1259</v>
          </cell>
          <cell r="BC59">
            <v>2110.6799999999998</v>
          </cell>
        </row>
        <row r="60">
          <cell r="C60" t="str">
            <v>MVP SG Gold 1 HMO</v>
          </cell>
          <cell r="H60" t="str">
            <v>Hybrid</v>
          </cell>
          <cell r="I60">
            <v>850</v>
          </cell>
          <cell r="J60">
            <v>1700</v>
          </cell>
          <cell r="K60">
            <v>7000</v>
          </cell>
          <cell r="L60">
            <v>14000</v>
          </cell>
          <cell r="M60" t="str">
            <v>As noted below</v>
          </cell>
          <cell r="N60" t="str">
            <v>$0 Copay first 3 visits; $15 Copay thereafter</v>
          </cell>
          <cell r="O60" t="str">
            <v>$50 Copay, subject to deductible</v>
          </cell>
          <cell r="P60">
            <v>50</v>
          </cell>
          <cell r="Q60" t="str">
            <v>Lab: $50 Copay/ X-Ray: $60 Copay, subject to deductible</v>
          </cell>
          <cell r="R60">
            <v>300</v>
          </cell>
          <cell r="S60">
            <v>300</v>
          </cell>
          <cell r="T60" t="str">
            <v>$500 Copay, subject to deductible</v>
          </cell>
          <cell r="U60" t="str">
            <v>$200 Copay, subject to deductible</v>
          </cell>
          <cell r="V60" t="str">
            <v>Inpatient: $500 Copay; Physician: $100 Copay, subject to deductible</v>
          </cell>
          <cell r="W60" t="str">
            <v>$100 Copay, subject to deductible</v>
          </cell>
          <cell r="X60" t="str">
            <v>$500 Copay, subject to deductible</v>
          </cell>
          <cell r="Y60" t="str">
            <v>$0 Copay first 3 visits; $15 Mental/$15 Chemical thereafter, subject to deductible</v>
          </cell>
          <cell r="Z60" t="str">
            <v>$50 Copay, subject to deductible</v>
          </cell>
          <cell r="AA60" t="str">
            <v>$50 Copay, subject to deductible</v>
          </cell>
          <cell r="AB60" t="str">
            <v>$50 Copay, subject to deductible</v>
          </cell>
          <cell r="AC60" t="str">
            <v>$50 Copay for up to 54 visits per condition/year combined therapies</v>
          </cell>
          <cell r="AD60" t="str">
            <v>Adult: $50 Copay (one exam per every other Plan Year)/ Pediatric: $50 Copay (one exam per 12-month period)</v>
          </cell>
          <cell r="AE60" t="str">
            <v>Pediatric: Covered at 50%, subect to deductible, for one purchase per year</v>
          </cell>
          <cell r="AF60" t="str">
            <v>Covered at 50%, subject to deductible</v>
          </cell>
          <cell r="AG60" t="str">
            <v>$200/$400 Brand deductible</v>
          </cell>
          <cell r="AH60">
            <v>10</v>
          </cell>
          <cell r="AI60">
            <v>35</v>
          </cell>
          <cell r="AJ60">
            <v>70</v>
          </cell>
          <cell r="AK60" t="str">
            <v>Yes</v>
          </cell>
          <cell r="AL60" t="str">
            <v>Embedded</v>
          </cell>
          <cell r="AM60">
            <v>15</v>
          </cell>
          <cell r="AN60">
            <v>639.41</v>
          </cell>
          <cell r="AO60">
            <v>1278.82</v>
          </cell>
          <cell r="AP60">
            <v>1087</v>
          </cell>
          <cell r="AQ60">
            <v>1822.32</v>
          </cell>
          <cell r="AR60">
            <v>649.64</v>
          </cell>
          <cell r="AS60">
            <v>1299.28</v>
          </cell>
          <cell r="AT60">
            <v>1104.3900000000001</v>
          </cell>
          <cell r="AU60">
            <v>1851.47</v>
          </cell>
          <cell r="AV60">
            <v>660.03</v>
          </cell>
          <cell r="AW60">
            <v>1320.06</v>
          </cell>
          <cell r="AX60">
            <v>1122.05</v>
          </cell>
          <cell r="AY60">
            <v>1881.09</v>
          </cell>
          <cell r="AZ60">
            <v>670.59</v>
          </cell>
          <cell r="BA60">
            <v>1341.18</v>
          </cell>
          <cell r="BB60">
            <v>1140</v>
          </cell>
          <cell r="BC60">
            <v>1911.18</v>
          </cell>
        </row>
        <row r="61">
          <cell r="C61" t="str">
            <v>MVP SG Gold 2 HMO</v>
          </cell>
          <cell r="H61" t="str">
            <v>Hybrid</v>
          </cell>
          <cell r="I61">
            <v>1600</v>
          </cell>
          <cell r="J61">
            <v>3200</v>
          </cell>
          <cell r="K61">
            <v>5000</v>
          </cell>
          <cell r="L61">
            <v>10000</v>
          </cell>
          <cell r="M61" t="str">
            <v>As noted below</v>
          </cell>
          <cell r="N61" t="str">
            <v>$10 Copay, subject to deductible</v>
          </cell>
          <cell r="O61" t="str">
            <v>$20 Copay, subject to deductible</v>
          </cell>
          <cell r="P61" t="str">
            <v>$20 Copay, subject to deductible</v>
          </cell>
          <cell r="Q61" t="str">
            <v>$20 Copay/ X-Ray: $20 Copay, subject to deductible</v>
          </cell>
          <cell r="R61" t="str">
            <v>$75 Copay, subject to deductible</v>
          </cell>
          <cell r="S61" t="str">
            <v>$75 Copay, subject to deductible</v>
          </cell>
          <cell r="T61" t="str">
            <v>$200 Copay, subject to deductible</v>
          </cell>
          <cell r="U61" t="str">
            <v>$200 Copay, subject to deductible</v>
          </cell>
          <cell r="V61" t="str">
            <v>Inpatient: $200 Copay; Physician: $25 Copay, subject to deductible</v>
          </cell>
          <cell r="W61" t="str">
            <v>$75 Copay, subject to deductible</v>
          </cell>
          <cell r="X61" t="str">
            <v>$200 Copay, subject to deductible</v>
          </cell>
          <cell r="Y61" t="str">
            <v>$10 Mental/ $10 Chemical</v>
          </cell>
          <cell r="Z61" t="str">
            <v>$20 Copay, subject to deductible</v>
          </cell>
          <cell r="AA61" t="str">
            <v>$20 Copay, subject to deductible</v>
          </cell>
          <cell r="AB61" t="str">
            <v>$20 Copay, subject to deductible</v>
          </cell>
          <cell r="AC61" t="str">
            <v>$20 Copay for up to 54 visits per condition/year combined therapies</v>
          </cell>
          <cell r="AD61" t="str">
            <v>Adult: $20 Copay (one exam per every other Plan Year)/ Pediatric: $20 Copay (one exam per 12-month period)</v>
          </cell>
          <cell r="AE61" t="str">
            <v>Pediatric: Covered at 50%, subject to deductible, for one purchase per year</v>
          </cell>
          <cell r="AF61" t="str">
            <v>Covered at 50%, subject to deductible</v>
          </cell>
          <cell r="AG61" t="str">
            <v>Subject to plan deductible (except preventive drugs)</v>
          </cell>
          <cell r="AH61">
            <v>10</v>
          </cell>
          <cell r="AI61">
            <v>30</v>
          </cell>
          <cell r="AJ61">
            <v>50</v>
          </cell>
          <cell r="AK61" t="str">
            <v>Yes</v>
          </cell>
          <cell r="AL61" t="str">
            <v>Aggregate</v>
          </cell>
          <cell r="AM61" t="str">
            <v>$10, subject to deductible</v>
          </cell>
          <cell r="AN61">
            <v>606.96</v>
          </cell>
          <cell r="AO61">
            <v>1213.92</v>
          </cell>
          <cell r="AP61">
            <v>1031.83</v>
          </cell>
          <cell r="AQ61">
            <v>1729.84</v>
          </cell>
          <cell r="AR61">
            <v>616.66999999999996</v>
          </cell>
          <cell r="AS61">
            <v>1233.3399999999999</v>
          </cell>
          <cell r="AT61">
            <v>1048.3399999999999</v>
          </cell>
          <cell r="AU61">
            <v>1757.51</v>
          </cell>
          <cell r="AV61">
            <v>626.54</v>
          </cell>
          <cell r="AW61">
            <v>1253.08</v>
          </cell>
          <cell r="AX61">
            <v>1065.1199999999999</v>
          </cell>
          <cell r="AY61">
            <v>1785.64</v>
          </cell>
          <cell r="AZ61">
            <v>636.55999999999995</v>
          </cell>
          <cell r="BA61">
            <v>1273.1199999999999</v>
          </cell>
          <cell r="BB61">
            <v>1082.1500000000001</v>
          </cell>
          <cell r="BC61">
            <v>1814.2</v>
          </cell>
        </row>
        <row r="62">
          <cell r="C62" t="str">
            <v>MVP SG Gold 10 HMO</v>
          </cell>
          <cell r="H62" t="str">
            <v>Hybrid</v>
          </cell>
          <cell r="I62">
            <v>600</v>
          </cell>
          <cell r="J62">
            <v>1200</v>
          </cell>
          <cell r="K62">
            <v>4000</v>
          </cell>
          <cell r="L62">
            <v>8000</v>
          </cell>
          <cell r="M62" t="str">
            <v>As noted below</v>
          </cell>
          <cell r="N62" t="str">
            <v>$25 Copay, subject to deductible</v>
          </cell>
          <cell r="O62" t="str">
            <v>$40 Copay, subject to deductible</v>
          </cell>
          <cell r="P62" t="str">
            <v>$60 Copay, subject to deductible</v>
          </cell>
          <cell r="Q62" t="str">
            <v>Lab: $40 Copay/ X-Ray: $40 Copay; subject to deductible</v>
          </cell>
          <cell r="R62" t="str">
            <v>$300 Copay, subject to deductible</v>
          </cell>
          <cell r="S62" t="str">
            <v>$300 Copay, subject to deductible</v>
          </cell>
          <cell r="T62" t="str">
            <v>$1,000 Copay, subject to deductible</v>
          </cell>
          <cell r="U62" t="str">
            <v>$100 Copay, subject to deductible</v>
          </cell>
          <cell r="V62" t="str">
            <v>Inpatient: $1,000 Copay; Physician: $100 Copay, subject to deductible</v>
          </cell>
          <cell r="W62" t="str">
            <v>$140 Copay, subject to deductible</v>
          </cell>
          <cell r="X62" t="str">
            <v>$1,000 Copay, subject to deductible</v>
          </cell>
          <cell r="Y62" t="str">
            <v>$25 Mental/$25 Chemical</v>
          </cell>
          <cell r="Z62" t="str">
            <v>$40 Copay, subject to deductible</v>
          </cell>
          <cell r="AA62" t="str">
            <v>$25 Copay, subject to deductible</v>
          </cell>
          <cell r="AB62" t="str">
            <v>$40 Copay, subject to deductible</v>
          </cell>
          <cell r="AC62" t="str">
            <v>$40 Copay for up to 54 visits per condition/year combined therapies</v>
          </cell>
          <cell r="AD62" t="str">
            <v>Adult: $40 Copay (one exam per every other Plan Year)/ Pediatric: $25 Copay (one exam per 12-month period)</v>
          </cell>
          <cell r="AE62" t="str">
            <v>Pediatric: Covered at 80%, subject to deductible, for one purchase per year</v>
          </cell>
          <cell r="AF62" t="str">
            <v>Covered at 80%, subject to deductible</v>
          </cell>
          <cell r="AG62" t="str">
            <v>Subject to plan deductible</v>
          </cell>
          <cell r="AH62">
            <v>10</v>
          </cell>
          <cell r="AI62">
            <v>45</v>
          </cell>
          <cell r="AJ62">
            <v>90</v>
          </cell>
          <cell r="AK62" t="str">
            <v>Yes</v>
          </cell>
          <cell r="AL62" t="str">
            <v>Embedded</v>
          </cell>
          <cell r="AM62" t="str">
            <v>$25, subject to deductible</v>
          </cell>
          <cell r="AN62">
            <v>646.49</v>
          </cell>
          <cell r="AO62">
            <v>1292.98</v>
          </cell>
          <cell r="AP62">
            <v>1099.03</v>
          </cell>
          <cell r="AQ62">
            <v>1842.5</v>
          </cell>
          <cell r="AR62">
            <v>656.83</v>
          </cell>
          <cell r="AS62">
            <v>1313.66</v>
          </cell>
          <cell r="AT62">
            <v>1116.6099999999999</v>
          </cell>
          <cell r="AU62">
            <v>1871.97</v>
          </cell>
          <cell r="AV62">
            <v>667.34</v>
          </cell>
          <cell r="AW62">
            <v>1334.68</v>
          </cell>
          <cell r="AX62">
            <v>1134.48</v>
          </cell>
          <cell r="AY62">
            <v>1901.92</v>
          </cell>
          <cell r="AZ62">
            <v>678.02</v>
          </cell>
          <cell r="BA62">
            <v>1356.04</v>
          </cell>
          <cell r="BB62">
            <v>1152.6300000000001</v>
          </cell>
          <cell r="BC62">
            <v>1932.36</v>
          </cell>
        </row>
        <row r="63">
          <cell r="C63" t="str">
            <v>MVP SG Silver 7</v>
          </cell>
          <cell r="D63">
            <v>386.71</v>
          </cell>
          <cell r="E63">
            <v>773.42</v>
          </cell>
          <cell r="F63">
            <v>657.41</v>
          </cell>
          <cell r="G63">
            <v>1102.1199999999999</v>
          </cell>
          <cell r="H63" t="str">
            <v>Hybrid</v>
          </cell>
          <cell r="I63">
            <v>3100</v>
          </cell>
          <cell r="J63">
            <v>6200</v>
          </cell>
          <cell r="K63">
            <v>8000</v>
          </cell>
          <cell r="L63">
            <v>16000</v>
          </cell>
          <cell r="M63" t="str">
            <v>As noted below</v>
          </cell>
          <cell r="N63">
            <v>30</v>
          </cell>
          <cell r="O63" t="str">
            <v>$40 Copay, subject to deductible</v>
          </cell>
          <cell r="P63" t="str">
            <v>$40 Copay, subject to deductible</v>
          </cell>
          <cell r="Q63" t="str">
            <v>Lab: $25 PCP/$40 Specialist; X-Ray: $25 PCP/$85 Specialist, subject to deductible</v>
          </cell>
          <cell r="R63" t="str">
            <v>$200 Copay, subject to deductible</v>
          </cell>
          <cell r="S63" t="str">
            <v>$200 Copay, subject to deductible</v>
          </cell>
          <cell r="T63" t="str">
            <v>$500 Copay, subject to deductible</v>
          </cell>
          <cell r="U63" t="str">
            <v>$200 Copay, subject to deductible</v>
          </cell>
          <cell r="V63" t="str">
            <v>Inpatient: $500 Copay; Physician: $100 Copay, subject to deductible</v>
          </cell>
          <cell r="W63" t="str">
            <v>$150 Copay, subject to deductible</v>
          </cell>
          <cell r="X63" t="str">
            <v>$500 Copay, subject to deductible</v>
          </cell>
          <cell r="Y63">
            <v>30</v>
          </cell>
          <cell r="Z63" t="str">
            <v>$40 Copay, subject to deductible</v>
          </cell>
          <cell r="AA63" t="str">
            <v>$40 Copay, subject to deductible</v>
          </cell>
          <cell r="AB63" t="str">
            <v>$40 Copay, subject to deductible</v>
          </cell>
          <cell r="AC63" t="str">
            <v>$40 Copay, subject to deductible, for up to 54 visits per condition/year combined therapies</v>
          </cell>
          <cell r="AD63" t="str">
            <v>Adult/ Pediatric: $40 Copay, subject to deductible (one exam per 12-month period)</v>
          </cell>
          <cell r="AE63" t="str">
            <v>Pediatric: Covered at 50%, subject to deductible, for one purchase per year</v>
          </cell>
          <cell r="AF63" t="str">
            <v>Covered at 50%, subject to deductible</v>
          </cell>
          <cell r="AG63" t="str">
            <v>N/A</v>
          </cell>
          <cell r="AH63">
            <v>15</v>
          </cell>
          <cell r="AI63">
            <v>45</v>
          </cell>
          <cell r="AJ63">
            <v>90</v>
          </cell>
          <cell r="AK63" t="str">
            <v>Yes</v>
          </cell>
          <cell r="AL63" t="str">
            <v>Embedded</v>
          </cell>
          <cell r="AM63">
            <v>30</v>
          </cell>
          <cell r="AN63">
            <v>564.84</v>
          </cell>
          <cell r="AO63">
            <v>1129.68</v>
          </cell>
          <cell r="AP63">
            <v>960.23</v>
          </cell>
          <cell r="AQ63">
            <v>1609.79</v>
          </cell>
          <cell r="AR63">
            <v>575.57000000000005</v>
          </cell>
          <cell r="AS63">
            <v>1151.1400000000001</v>
          </cell>
          <cell r="AT63">
            <v>978.47</v>
          </cell>
          <cell r="AU63">
            <v>1640.37</v>
          </cell>
          <cell r="AV63">
            <v>586.51</v>
          </cell>
          <cell r="AW63">
            <v>1173.02</v>
          </cell>
          <cell r="AX63">
            <v>997.07</v>
          </cell>
          <cell r="AY63">
            <v>1671.55</v>
          </cell>
          <cell r="AZ63">
            <v>597.65</v>
          </cell>
          <cell r="BA63">
            <v>1195.3</v>
          </cell>
          <cell r="BB63">
            <v>1016.01</v>
          </cell>
          <cell r="BC63">
            <v>1703.3</v>
          </cell>
        </row>
        <row r="64">
          <cell r="C64" t="str">
            <v>MVP SG Silver 8</v>
          </cell>
          <cell r="D64">
            <v>325.47000000000003</v>
          </cell>
          <cell r="E64">
            <v>650.94000000000005</v>
          </cell>
          <cell r="F64">
            <v>553.29999999999995</v>
          </cell>
          <cell r="G64">
            <v>927.59</v>
          </cell>
          <cell r="H64" t="str">
            <v>HDHP</v>
          </cell>
          <cell r="I64">
            <v>3900</v>
          </cell>
          <cell r="J64">
            <v>7800</v>
          </cell>
          <cell r="K64">
            <v>6000</v>
          </cell>
          <cell r="L64">
            <v>12000</v>
          </cell>
          <cell r="M64" t="str">
            <v>As noted below</v>
          </cell>
          <cell r="N64" t="str">
            <v>Covered at 100%, subject to deductible</v>
          </cell>
          <cell r="O64" t="str">
            <v>Covered at 100%, subject to deductible</v>
          </cell>
          <cell r="P64" t="str">
            <v>Covered at 100%, subject to deductible</v>
          </cell>
          <cell r="Q64" t="str">
            <v>Covered at 100%, subject to deductible</v>
          </cell>
          <cell r="R64" t="str">
            <v>Covered at 100%, subject to deductible</v>
          </cell>
          <cell r="S64" t="str">
            <v>Covered at 100%, subject to deductible</v>
          </cell>
          <cell r="T64" t="str">
            <v>Covered at 100%, subject to deductible</v>
          </cell>
          <cell r="U64" t="str">
            <v>Covered at 100%, subject to deductible</v>
          </cell>
          <cell r="V64" t="str">
            <v>Covered at 100%, subject to deductible</v>
          </cell>
          <cell r="W64" t="str">
            <v>Covered at 100%, subject to deductible</v>
          </cell>
          <cell r="X64" t="str">
            <v>Covered at 100%, subject to deductible</v>
          </cell>
          <cell r="Y64" t="str">
            <v>Covered at 100%, subject to deductible</v>
          </cell>
          <cell r="Z64" t="str">
            <v>Covered at 100%, subject to deductible</v>
          </cell>
          <cell r="AA64" t="str">
            <v>Covered at 100%, subject to deductible</v>
          </cell>
          <cell r="AB64" t="str">
            <v>Covered at 100%, subject to deductible</v>
          </cell>
          <cell r="AC64" t="str">
            <v>Covered at 100%, subject to deductible, for up to 54 visits per condition/year combined therapies</v>
          </cell>
          <cell r="AD64" t="str">
            <v>Adult/ Pediatric: Covered at 100%, subject to deductible (one exam per 12-month period)</v>
          </cell>
          <cell r="AE64" t="str">
            <v>Pediatric: Covered at 100%, subject to deductible, for one purchase per year</v>
          </cell>
          <cell r="AF64" t="str">
            <v>Covered at 100%, subject to deductible</v>
          </cell>
          <cell r="AG64" t="str">
            <v>Subject to plan deductible (except preventive drugs)</v>
          </cell>
          <cell r="AH64">
            <v>15</v>
          </cell>
          <cell r="AI64">
            <v>40</v>
          </cell>
          <cell r="AJ64">
            <v>60</v>
          </cell>
          <cell r="AK64" t="str">
            <v>Yes</v>
          </cell>
          <cell r="AL64" t="str">
            <v>Embedded</v>
          </cell>
          <cell r="AM64" t="str">
            <v>$0, subject to deductible</v>
          </cell>
          <cell r="AN64">
            <v>530.96</v>
          </cell>
          <cell r="AO64">
            <v>1061.92</v>
          </cell>
          <cell r="AP64">
            <v>902.63</v>
          </cell>
          <cell r="AQ64">
            <v>1513.24</v>
          </cell>
          <cell r="AR64">
            <v>541.04999999999995</v>
          </cell>
          <cell r="AS64">
            <v>1082.0999999999999</v>
          </cell>
          <cell r="AT64">
            <v>919.79</v>
          </cell>
          <cell r="AU64">
            <v>1541.99</v>
          </cell>
          <cell r="AV64">
            <v>551.33000000000004</v>
          </cell>
          <cell r="AW64">
            <v>1102.6600000000001</v>
          </cell>
          <cell r="AX64">
            <v>937.26</v>
          </cell>
          <cell r="AY64">
            <v>1571.29</v>
          </cell>
          <cell r="AZ64">
            <v>561.80999999999995</v>
          </cell>
          <cell r="BA64">
            <v>1123.6199999999999</v>
          </cell>
          <cell r="BB64">
            <v>955.08</v>
          </cell>
          <cell r="BC64">
            <v>1601.16</v>
          </cell>
        </row>
        <row r="65">
          <cell r="C65" t="str">
            <v>MVP SG Silver 3 HMO</v>
          </cell>
          <cell r="H65" t="str">
            <v>HDHP</v>
          </cell>
          <cell r="I65">
            <v>2200</v>
          </cell>
          <cell r="J65">
            <v>4400</v>
          </cell>
          <cell r="K65">
            <v>5200</v>
          </cell>
          <cell r="L65">
            <v>10400</v>
          </cell>
          <cell r="M65" t="str">
            <v>As noted below</v>
          </cell>
          <cell r="N65" t="str">
            <v>$25 Copay, subject to deductible</v>
          </cell>
          <cell r="O65" t="str">
            <v>$50 Copay, subject to deductible</v>
          </cell>
          <cell r="P65" t="str">
            <v>$50 Copay, subject to deductible</v>
          </cell>
          <cell r="Q65" t="str">
            <v>Lab: $50 Copay/ X-Ray: $50 Copay; subject to deductible</v>
          </cell>
          <cell r="R65" t="str">
            <v>$300 Copay, subject to deductible</v>
          </cell>
          <cell r="S65" t="str">
            <v>$300 Copay, subject to deductible</v>
          </cell>
          <cell r="T65" t="str">
            <v>$500 Copay, subject to deductible</v>
          </cell>
          <cell r="U65" t="str">
            <v>$200 Copay, subject to deductible</v>
          </cell>
          <cell r="V65" t="str">
            <v>Inpatient: $500 Copay; Physician: $100 Copay, subject to deductible</v>
          </cell>
          <cell r="W65" t="str">
            <v>$150 Copay, subject to deductible</v>
          </cell>
          <cell r="X65" t="str">
            <v>$500 Copay, subject to deductible</v>
          </cell>
          <cell r="Y65" t="str">
            <v>$25 Copay, subject to deductible</v>
          </cell>
          <cell r="Z65" t="str">
            <v>$50 Copay, subject to deductible</v>
          </cell>
          <cell r="AA65" t="str">
            <v>$50 Copay, subject to deductible</v>
          </cell>
          <cell r="AB65" t="str">
            <v>$50 Copay, subject to deductible</v>
          </cell>
          <cell r="AC65" t="str">
            <v>$50 Copay, subject to deductible, for up to 54 visits per condition/year combined therapies</v>
          </cell>
          <cell r="AD65" t="str">
            <v>Adult/ Pediatric: $50 Copay, subject to deductible (one exam per 12-month period)</v>
          </cell>
          <cell r="AE65" t="str">
            <v>Pediatric: Covered at 50%, subject to deductible, for one purchase per year</v>
          </cell>
          <cell r="AF65" t="str">
            <v>Covered at 50%, subject to deductible</v>
          </cell>
          <cell r="AG65" t="str">
            <v>Subject to plan deductible (except preventive drugs)</v>
          </cell>
          <cell r="AH65">
            <v>15</v>
          </cell>
          <cell r="AI65">
            <v>40</v>
          </cell>
          <cell r="AJ65">
            <v>60</v>
          </cell>
          <cell r="AK65" t="str">
            <v>Yes</v>
          </cell>
          <cell r="AL65" t="str">
            <v>Aggregate</v>
          </cell>
          <cell r="AM65" t="str">
            <v>$25, subject to deductible</v>
          </cell>
          <cell r="AN65">
            <v>529.35</v>
          </cell>
          <cell r="AO65">
            <v>1058.7</v>
          </cell>
          <cell r="AP65">
            <v>899.9</v>
          </cell>
          <cell r="AQ65">
            <v>1508.65</v>
          </cell>
          <cell r="AR65">
            <v>537.82000000000005</v>
          </cell>
          <cell r="AS65">
            <v>1075.6400000000001</v>
          </cell>
          <cell r="AT65">
            <v>914.29</v>
          </cell>
          <cell r="AU65">
            <v>1532.79</v>
          </cell>
          <cell r="AV65">
            <v>546.42999999999995</v>
          </cell>
          <cell r="AW65">
            <v>1092.8599999999999</v>
          </cell>
          <cell r="AX65">
            <v>928.93</v>
          </cell>
          <cell r="AY65">
            <v>1557.33</v>
          </cell>
          <cell r="AZ65">
            <v>555.16999999999996</v>
          </cell>
          <cell r="BA65">
            <v>1110.3399999999999</v>
          </cell>
          <cell r="BB65">
            <v>943.79</v>
          </cell>
          <cell r="BC65">
            <v>1582.23</v>
          </cell>
        </row>
        <row r="66">
          <cell r="C66" t="str">
            <v>MVP SG Silver 12 HMO</v>
          </cell>
          <cell r="H66" t="str">
            <v>HDHP</v>
          </cell>
          <cell r="I66">
            <v>1700</v>
          </cell>
          <cell r="J66">
            <v>3400</v>
          </cell>
          <cell r="K66">
            <v>7900</v>
          </cell>
          <cell r="L66">
            <v>15800</v>
          </cell>
          <cell r="M66" t="str">
            <v>As noted below</v>
          </cell>
          <cell r="N66" t="str">
            <v>$30 Copay, subject to deductible</v>
          </cell>
          <cell r="O66" t="str">
            <v>$50 Copay, subject to deductible</v>
          </cell>
          <cell r="P66" t="str">
            <v>$70 Copay, subject to deductible</v>
          </cell>
          <cell r="Q66" t="str">
            <v>Lab: $50 Copay/ X-Ray: $50 Copay, subject to deductible</v>
          </cell>
          <cell r="R66" t="str">
            <v>$250 Copay, subject to deductible</v>
          </cell>
          <cell r="S66" t="str">
            <v>$150 Copay, subject to deductible</v>
          </cell>
          <cell r="T66" t="str">
            <v>$1,500 Copay, subject to deductible</v>
          </cell>
          <cell r="U66" t="str">
            <v>$200 Copay, subject to deductible</v>
          </cell>
          <cell r="V66" t="str">
            <v>Inpatient: $1,500 Copay; Physician: $100 Copay, subject to deductible</v>
          </cell>
          <cell r="W66" t="str">
            <v>$100 Copay, subject to deductible</v>
          </cell>
          <cell r="X66" t="str">
            <v>$1,500 Copay, subject to deductible</v>
          </cell>
          <cell r="Y66" t="str">
            <v>$30 Copay, subject to deductible</v>
          </cell>
          <cell r="Z66" t="str">
            <v>$30 Copay, subject to deductible</v>
          </cell>
          <cell r="AA66" t="str">
            <v>$30 Copay, subject to deductible</v>
          </cell>
          <cell r="AB66" t="str">
            <v>$50 Copay, subject to deductible</v>
          </cell>
          <cell r="AC66" t="str">
            <v>$30 Copay, subject to deductible, for up to 54 visits per condition/year combined therapies</v>
          </cell>
          <cell r="AD66" t="str">
            <v>Adult: $50 Copay (one exam per every other Plan Year)/ Pediatric: $30 Copay (one exam per 12-month period)</v>
          </cell>
          <cell r="AF66" t="str">
            <v>Covered at 70%, subject to deductible</v>
          </cell>
          <cell r="AG66" t="str">
            <v>Subject to plan deductible</v>
          </cell>
          <cell r="AH66">
            <v>10</v>
          </cell>
          <cell r="AI66">
            <v>35</v>
          </cell>
          <cell r="AJ66">
            <v>70</v>
          </cell>
          <cell r="AK66" t="str">
            <v>Yes</v>
          </cell>
          <cell r="AL66" t="str">
            <v>Embedded</v>
          </cell>
          <cell r="AM66" t="str">
            <v>$30, subject to deductible</v>
          </cell>
          <cell r="AN66">
            <v>547.03</v>
          </cell>
          <cell r="AO66">
            <v>1094.06</v>
          </cell>
          <cell r="AP66">
            <v>929.95</v>
          </cell>
          <cell r="AQ66">
            <v>1559.04</v>
          </cell>
          <cell r="AR66">
            <v>555.78</v>
          </cell>
          <cell r="AS66">
            <v>1111.56</v>
          </cell>
          <cell r="AT66">
            <v>944.83</v>
          </cell>
          <cell r="AU66">
            <v>1583.97</v>
          </cell>
          <cell r="AV66">
            <v>564.66999999999996</v>
          </cell>
          <cell r="AW66">
            <v>1129.3399999999999</v>
          </cell>
          <cell r="AX66">
            <v>959.94</v>
          </cell>
          <cell r="AY66">
            <v>1609.31</v>
          </cell>
          <cell r="AZ66">
            <v>573.70000000000005</v>
          </cell>
          <cell r="BA66">
            <v>1147.4000000000001</v>
          </cell>
          <cell r="BB66">
            <v>975.29</v>
          </cell>
          <cell r="BC66">
            <v>1635.05</v>
          </cell>
        </row>
        <row r="67">
          <cell r="C67" t="str">
            <v>MVP SG Bronze 2 HMO</v>
          </cell>
          <cell r="H67" t="str">
            <v>HDHP</v>
          </cell>
          <cell r="I67">
            <v>5000</v>
          </cell>
          <cell r="J67">
            <v>10000</v>
          </cell>
          <cell r="K67">
            <v>8000</v>
          </cell>
          <cell r="L67">
            <v>16000</v>
          </cell>
          <cell r="M67" t="str">
            <v>As noted below</v>
          </cell>
          <cell r="N67" t="str">
            <v>$0 Copay first 3 visits; $35 Copay thereafter, subject to deductible</v>
          </cell>
          <cell r="O67" t="str">
            <v>$60 Copay, subject to deductible</v>
          </cell>
          <cell r="P67" t="str">
            <v>$60 Copay, subject to deductible</v>
          </cell>
          <cell r="Q67" t="str">
            <v>Lab: $60 Copay/ X-Ray: $60 Copay; subject to deductible</v>
          </cell>
          <cell r="R67" t="str">
            <v>$350 Copay, subject to deductible</v>
          </cell>
          <cell r="S67" t="str">
            <v>$350 Copay, subject to deductible</v>
          </cell>
          <cell r="T67" t="str">
            <v>Covered at 70%, subject to deductible</v>
          </cell>
          <cell r="U67" t="str">
            <v>$300 Copay, subject to deductible</v>
          </cell>
          <cell r="V67" t="str">
            <v>Inpatient: Covered at 70%, subject to deductible</v>
          </cell>
          <cell r="W67" t="str">
            <v>$60 Copay, subject to deductible</v>
          </cell>
          <cell r="X67" t="str">
            <v>Covered at 70%, subject to deductible</v>
          </cell>
          <cell r="Y67" t="str">
            <v xml:space="preserve">$0 Copay first 3 visits; $35 Mental/$35 Chemical thereafter, subject to deductible </v>
          </cell>
          <cell r="Z67" t="str">
            <v>$60 Copay, subject to deductible</v>
          </cell>
          <cell r="AA67" t="str">
            <v>$60 Copay, subject to deductible</v>
          </cell>
          <cell r="AB67" t="str">
            <v>$60 Copay, subject to deductible</v>
          </cell>
          <cell r="AC67" t="str">
            <v>$60 Copay, subject to deductible, for up to 54 visits per condition/year combined therapies</v>
          </cell>
          <cell r="AD67" t="str">
            <v>Adult: $60 Copay (one exam per every other Plan Year)/ Pediatric: $60 Copay (one exam per 12-month period); subject to deductible</v>
          </cell>
          <cell r="AE67" t="str">
            <v>Pediatric: Covered at 50%, subject to deductible, for one purchase per year</v>
          </cell>
          <cell r="AF67" t="str">
            <v>Covered at 50%, subject to deductible</v>
          </cell>
          <cell r="AG67" t="str">
            <v>Subject to plan deductible</v>
          </cell>
          <cell r="AH67">
            <v>10</v>
          </cell>
          <cell r="AI67">
            <v>40</v>
          </cell>
          <cell r="AJ67">
            <v>60</v>
          </cell>
          <cell r="AK67" t="str">
            <v>Yes</v>
          </cell>
          <cell r="AL67" t="str">
            <v>Embedded</v>
          </cell>
          <cell r="AM67" t="str">
            <v>$35, subject to deductible</v>
          </cell>
          <cell r="AN67">
            <v>422.34</v>
          </cell>
          <cell r="AO67">
            <v>844.68</v>
          </cell>
          <cell r="AP67">
            <v>717.98</v>
          </cell>
          <cell r="AQ67">
            <v>1203.67</v>
          </cell>
          <cell r="AR67">
            <v>429.1</v>
          </cell>
          <cell r="AS67">
            <v>858.2</v>
          </cell>
          <cell r="AT67">
            <v>729.47</v>
          </cell>
          <cell r="AU67">
            <v>1222.94</v>
          </cell>
          <cell r="AV67">
            <v>435.97</v>
          </cell>
          <cell r="AW67">
            <v>871.94</v>
          </cell>
          <cell r="AX67">
            <v>741.15</v>
          </cell>
          <cell r="AY67">
            <v>1242.51</v>
          </cell>
          <cell r="AZ67">
            <v>465.5</v>
          </cell>
          <cell r="BA67">
            <v>931</v>
          </cell>
          <cell r="BB67">
            <v>791.35</v>
          </cell>
          <cell r="BC67">
            <v>1326.68</v>
          </cell>
        </row>
        <row r="68">
          <cell r="C68" t="str">
            <v>MVP SG Bronze 9 HMO</v>
          </cell>
          <cell r="H68" t="str">
            <v>HDHP</v>
          </cell>
          <cell r="I68">
            <v>5500</v>
          </cell>
          <cell r="J68">
            <v>11000</v>
          </cell>
          <cell r="K68">
            <v>6750</v>
          </cell>
          <cell r="L68">
            <v>13500</v>
          </cell>
          <cell r="M68" t="str">
            <v>As noted below</v>
          </cell>
          <cell r="N68" t="str">
            <v>Covered at 50%, subject to deductible</v>
          </cell>
          <cell r="O68" t="str">
            <v>Covered at 50%, subject to deductible</v>
          </cell>
          <cell r="P68" t="str">
            <v>Covered at 50%, subject to deductible</v>
          </cell>
          <cell r="Q68" t="str">
            <v>Covered at 50%, subject to deductible</v>
          </cell>
          <cell r="R68" t="str">
            <v>Covered at 50%, subject to deductible</v>
          </cell>
          <cell r="S68" t="str">
            <v>Covered at 50%, subject to deductible</v>
          </cell>
          <cell r="T68" t="str">
            <v>Covered at 50%, subject to deductible</v>
          </cell>
          <cell r="U68" t="str">
            <v>Covered at 50%, subject to deductible</v>
          </cell>
          <cell r="V68" t="str">
            <v>Covered at 50%, subject to deductible</v>
          </cell>
          <cell r="W68" t="str">
            <v>Covered at 50%, subject to deductible</v>
          </cell>
          <cell r="X68" t="str">
            <v>Covered at 50%, subject to deductible</v>
          </cell>
          <cell r="Y68" t="str">
            <v>Covered at 50%, subject to deductible</v>
          </cell>
          <cell r="Z68" t="str">
            <v>Covered at 50%, subject to deductible</v>
          </cell>
          <cell r="AA68" t="str">
            <v>Covered at 50%, subject to deductible</v>
          </cell>
          <cell r="AB68" t="str">
            <v>Covered at 50%, subject to deductible</v>
          </cell>
          <cell r="AC68" t="str">
            <v>Covered at 50%, subject to deductible, for up to 54 visits per condition/year combined therapies</v>
          </cell>
          <cell r="AD68" t="str">
            <v>Adult: Covered at 50% (one exam per every other Plan Year)/ Pediatric: Covered at 50% (one exam per 12-month period); subject to deductible</v>
          </cell>
          <cell r="AE68" t="str">
            <v>Pediatric: Covered at 50%, subject to deductible, for one purchase per year</v>
          </cell>
          <cell r="AF68" t="str">
            <v>Covered at 50%, subject to deductible</v>
          </cell>
          <cell r="AG68" t="str">
            <v>Subject to plan deductible (except preventive drugs)</v>
          </cell>
          <cell r="AH68">
            <v>10</v>
          </cell>
          <cell r="AI68">
            <v>35</v>
          </cell>
          <cell r="AJ68">
            <v>70</v>
          </cell>
          <cell r="AK68" t="str">
            <v>Yes</v>
          </cell>
          <cell r="AL68" t="str">
            <v>Embedded</v>
          </cell>
          <cell r="AM68" t="str">
            <v>Covered at 50%, subject to deductible</v>
          </cell>
          <cell r="AN68">
            <v>415.43</v>
          </cell>
          <cell r="AO68">
            <v>830.86</v>
          </cell>
          <cell r="AP68">
            <v>706.23</v>
          </cell>
          <cell r="AQ68">
            <v>1183.98</v>
          </cell>
          <cell r="AR68">
            <v>422.08</v>
          </cell>
          <cell r="AS68">
            <v>844.16</v>
          </cell>
          <cell r="AT68">
            <v>717.54</v>
          </cell>
          <cell r="AU68">
            <v>1202.93</v>
          </cell>
          <cell r="AV68">
            <v>428.83</v>
          </cell>
          <cell r="AW68">
            <v>857.66</v>
          </cell>
          <cell r="AX68">
            <v>729.01</v>
          </cell>
          <cell r="AY68">
            <v>1222.17</v>
          </cell>
          <cell r="AZ68">
            <v>435.69</v>
          </cell>
          <cell r="BA68">
            <v>871.38</v>
          </cell>
          <cell r="BB68">
            <v>740.67</v>
          </cell>
          <cell r="BC68">
            <v>1241.72</v>
          </cell>
        </row>
        <row r="69">
          <cell r="C69" t="str">
            <v>MVP SG Bronze 10 HMO</v>
          </cell>
          <cell r="H69" t="str">
            <v>HDHP</v>
          </cell>
          <cell r="I69">
            <v>8000</v>
          </cell>
          <cell r="J69">
            <v>16000</v>
          </cell>
          <cell r="K69">
            <v>8000</v>
          </cell>
          <cell r="L69">
            <v>16000</v>
          </cell>
          <cell r="M69" t="str">
            <v>As noted below</v>
          </cell>
          <cell r="N69" t="str">
            <v>Covered at 100%, subject to deductible</v>
          </cell>
          <cell r="O69" t="str">
            <v>Covered at 100%, subject to deductible</v>
          </cell>
          <cell r="P69" t="str">
            <v>Covered at 100%, subject to deductible</v>
          </cell>
          <cell r="Q69" t="str">
            <v>Covered at 100%, subject to deductible</v>
          </cell>
          <cell r="R69" t="str">
            <v>Covered at 100%, subject to deductible</v>
          </cell>
          <cell r="S69" t="str">
            <v>Covered at 100%, subject to deductible</v>
          </cell>
          <cell r="T69" t="str">
            <v>Covered at 100%, subject to deductible</v>
          </cell>
          <cell r="U69" t="str">
            <v>Covered at 100%, subject to deductible</v>
          </cell>
          <cell r="V69" t="str">
            <v>Covered at 100%, subject to deductible</v>
          </cell>
          <cell r="W69" t="str">
            <v>Covered at 100%, subject to deductible</v>
          </cell>
          <cell r="X69" t="str">
            <v>Covered at 100%, subject to deductible</v>
          </cell>
          <cell r="Y69" t="str">
            <v>Covered at 100%, subject to deductible</v>
          </cell>
          <cell r="Z69" t="str">
            <v>Covered at 100%, subject to deductible</v>
          </cell>
          <cell r="AA69" t="str">
            <v>Covered at 100%, subject to deductible</v>
          </cell>
          <cell r="AB69" t="str">
            <v>Covered at 100%, subject to deductible</v>
          </cell>
          <cell r="AC69" t="str">
            <v xml:space="preserve">Covered at 100%, subject to deductible, for up to 54 visits per condition/year combined therapies </v>
          </cell>
          <cell r="AD69" t="str">
            <v>Adult: Covered at 100% (one exam per every other Plan Year)/ Pediatric: Covered at 100% (one exam per 12-month period); subject to deductible</v>
          </cell>
          <cell r="AE69" t="str">
            <v>Pediatric: Covered at 100%, subject to deductible, for one purchase per year</v>
          </cell>
          <cell r="AF69" t="str">
            <v>Covered at 100%, subject to deductible</v>
          </cell>
          <cell r="AG69" t="str">
            <v>Subject to plan deductible</v>
          </cell>
          <cell r="AH69">
            <v>0</v>
          </cell>
          <cell r="AI69">
            <v>0</v>
          </cell>
          <cell r="AJ69">
            <v>0</v>
          </cell>
          <cell r="AK69" t="str">
            <v>Yes</v>
          </cell>
          <cell r="AL69" t="str">
            <v>Embedded</v>
          </cell>
          <cell r="AM69" t="str">
            <v>$0, subject to deductible</v>
          </cell>
          <cell r="AN69">
            <v>412.44</v>
          </cell>
          <cell r="AO69">
            <v>824.88</v>
          </cell>
          <cell r="AP69">
            <v>701.15</v>
          </cell>
          <cell r="AQ69">
            <v>1175.45</v>
          </cell>
          <cell r="AR69">
            <v>419.04</v>
          </cell>
          <cell r="AS69">
            <v>838.08</v>
          </cell>
          <cell r="AT69">
            <v>712.37</v>
          </cell>
          <cell r="AU69">
            <v>1194.26</v>
          </cell>
          <cell r="AV69">
            <v>425.74</v>
          </cell>
          <cell r="AW69">
            <v>851.48</v>
          </cell>
          <cell r="AX69">
            <v>723.76</v>
          </cell>
          <cell r="AY69">
            <v>1213.3599999999999</v>
          </cell>
          <cell r="AZ69">
            <v>432.55</v>
          </cell>
          <cell r="BA69">
            <v>865.1</v>
          </cell>
          <cell r="BB69">
            <v>735.34</v>
          </cell>
          <cell r="BC69">
            <v>1232.77</v>
          </cell>
        </row>
        <row r="71">
          <cell r="C71" t="str">
            <v>Select Plan</v>
          </cell>
        </row>
        <row r="72">
          <cell r="C72" t="str">
            <v>2021 Excellus Plans</v>
          </cell>
        </row>
        <row r="73">
          <cell r="C73" t="str">
            <v>Excellus SB Plus Gold 1</v>
          </cell>
          <cell r="H73" t="str">
            <v>Copay</v>
          </cell>
          <cell r="I73" t="str">
            <v>N/A</v>
          </cell>
          <cell r="J73" t="str">
            <v>N/A</v>
          </cell>
          <cell r="K73">
            <v>7900</v>
          </cell>
          <cell r="L73">
            <v>15800</v>
          </cell>
          <cell r="M73" t="str">
            <v>N/A</v>
          </cell>
          <cell r="N73">
            <v>25</v>
          </cell>
          <cell r="O73">
            <v>50</v>
          </cell>
          <cell r="P73">
            <v>50</v>
          </cell>
          <cell r="Q73" t="str">
            <v>Lab: $50/ X-Ray: $50</v>
          </cell>
          <cell r="R73">
            <v>450</v>
          </cell>
          <cell r="S73">
            <v>450</v>
          </cell>
          <cell r="T73">
            <v>1000</v>
          </cell>
          <cell r="U73">
            <v>450</v>
          </cell>
          <cell r="V73">
            <v>1000</v>
          </cell>
          <cell r="W73">
            <v>100</v>
          </cell>
          <cell r="X73">
            <v>1000</v>
          </cell>
          <cell r="Y73">
            <v>25</v>
          </cell>
          <cell r="Z73">
            <v>50</v>
          </cell>
          <cell r="AA73">
            <v>25</v>
          </cell>
          <cell r="AB73">
            <v>50</v>
          </cell>
          <cell r="AC73" t="str">
            <v>$50 Copay for up to 60 visits per contract year</v>
          </cell>
          <cell r="AD73" t="str">
            <v>Adult/ Pediatric: $50 Copay for one routine exam per year</v>
          </cell>
          <cell r="AE73" t="str">
            <v>Adult: $60 allowance per year; Pediatric: Covered at 50% for one purchase per year</v>
          </cell>
          <cell r="AF73" t="str">
            <v>Covered at 50%</v>
          </cell>
          <cell r="AG73" t="str">
            <v>N/A</v>
          </cell>
          <cell r="AH73">
            <v>15</v>
          </cell>
          <cell r="AI73">
            <v>0.4</v>
          </cell>
          <cell r="AJ73">
            <v>0.5</v>
          </cell>
          <cell r="AK73" t="str">
            <v>Yes</v>
          </cell>
          <cell r="AL73" t="str">
            <v>N/A</v>
          </cell>
          <cell r="AM73" t="str">
            <v>Covered in Full</v>
          </cell>
          <cell r="BD73">
            <v>624.15</v>
          </cell>
          <cell r="BE73">
            <v>1248.3</v>
          </cell>
          <cell r="BF73">
            <v>1061.06</v>
          </cell>
          <cell r="BG73">
            <v>1778.83</v>
          </cell>
        </row>
        <row r="74">
          <cell r="C74" t="str">
            <v>Excellus SB Plus Gold 5 </v>
          </cell>
          <cell r="H74" t="str">
            <v>Copay</v>
          </cell>
          <cell r="I74" t="str">
            <v>N/A</v>
          </cell>
          <cell r="J74" t="str">
            <v>N/A</v>
          </cell>
          <cell r="K74">
            <v>8000</v>
          </cell>
          <cell r="L74">
            <v>16000</v>
          </cell>
          <cell r="M74" t="str">
            <v>N/A</v>
          </cell>
          <cell r="N74">
            <v>40</v>
          </cell>
          <cell r="O74">
            <v>70</v>
          </cell>
          <cell r="P74">
            <v>70</v>
          </cell>
          <cell r="Q74" t="str">
            <v>Lab: $40/ X-Ray: $70</v>
          </cell>
          <cell r="R74">
            <v>500</v>
          </cell>
          <cell r="S74">
            <v>500</v>
          </cell>
          <cell r="T74">
            <v>1000</v>
          </cell>
          <cell r="U74">
            <v>500</v>
          </cell>
          <cell r="V74">
            <v>1000</v>
          </cell>
          <cell r="W74">
            <v>100</v>
          </cell>
          <cell r="X74">
            <v>1000</v>
          </cell>
          <cell r="Y74">
            <v>40</v>
          </cell>
          <cell r="Z74">
            <v>70</v>
          </cell>
          <cell r="AA74">
            <v>40</v>
          </cell>
          <cell r="AB74">
            <v>70</v>
          </cell>
          <cell r="AC74" t="str">
            <v>$70 Copay for up to 60 visits per contract year</v>
          </cell>
          <cell r="AD74" t="str">
            <v>Adult/ Pediatric: $70 Copay for one routine exam per year</v>
          </cell>
          <cell r="AE74" t="str">
            <v>Adult: $60 allowance per year; Pediatric: Covered at 50% for one purchase per year</v>
          </cell>
          <cell r="AF74" t="str">
            <v>Covered at 50%</v>
          </cell>
          <cell r="AG74" t="str">
            <v>N/A</v>
          </cell>
          <cell r="AH74">
            <v>15</v>
          </cell>
          <cell r="AI74">
            <v>75</v>
          </cell>
          <cell r="AJ74">
            <v>0.5</v>
          </cell>
          <cell r="AK74" t="str">
            <v>Yes</v>
          </cell>
          <cell r="AL74" t="str">
            <v>N/A</v>
          </cell>
          <cell r="AM74" t="str">
            <v>Covered in Full</v>
          </cell>
          <cell r="BD74">
            <v>637.11</v>
          </cell>
          <cell r="BE74">
            <v>1274.22</v>
          </cell>
          <cell r="BF74">
            <v>1083.0899999999999</v>
          </cell>
          <cell r="BG74">
            <v>1815.76</v>
          </cell>
        </row>
        <row r="75">
          <cell r="C75" t="str">
            <v>Excellus SB Plus Platinum 2 </v>
          </cell>
          <cell r="H75" t="str">
            <v>Copay</v>
          </cell>
          <cell r="I75" t="str">
            <v>N/A</v>
          </cell>
          <cell r="J75" t="str">
            <v>N/A</v>
          </cell>
          <cell r="K75">
            <v>5000</v>
          </cell>
          <cell r="L75">
            <v>10000</v>
          </cell>
          <cell r="M75" t="str">
            <v>N/A</v>
          </cell>
          <cell r="N75">
            <v>15</v>
          </cell>
          <cell r="O75">
            <v>25</v>
          </cell>
          <cell r="P75">
            <v>25</v>
          </cell>
          <cell r="Q75" t="str">
            <v>Lab: $15/ X-Ray: $25</v>
          </cell>
          <cell r="R75">
            <v>150</v>
          </cell>
          <cell r="S75">
            <v>150</v>
          </cell>
          <cell r="T75">
            <v>500</v>
          </cell>
          <cell r="U75">
            <v>150</v>
          </cell>
          <cell r="V75">
            <v>500</v>
          </cell>
          <cell r="W75">
            <v>100</v>
          </cell>
          <cell r="X75">
            <v>500</v>
          </cell>
          <cell r="Y75">
            <v>15</v>
          </cell>
          <cell r="Z75">
            <v>25</v>
          </cell>
          <cell r="AA75">
            <v>15</v>
          </cell>
          <cell r="AB75">
            <v>25</v>
          </cell>
          <cell r="AC75" t="str">
            <v>$25 Copay for up to 60 visits per contract year</v>
          </cell>
          <cell r="AD75" t="str">
            <v>Adult/ Pediatric: $25 Copay for one routine exam per year</v>
          </cell>
          <cell r="AE75" t="str">
            <v>Adult: $60 allowance per year; Pediatric: Covered at 50% for one purchase per year</v>
          </cell>
          <cell r="AF75" t="str">
            <v>Covered at 50%</v>
          </cell>
          <cell r="AG75" t="str">
            <v>N/A</v>
          </cell>
          <cell r="AH75">
            <v>5</v>
          </cell>
          <cell r="AI75">
            <v>35</v>
          </cell>
          <cell r="AJ75">
            <v>70</v>
          </cell>
          <cell r="AK75" t="str">
            <v>Yes</v>
          </cell>
          <cell r="AL75" t="str">
            <v>N/A</v>
          </cell>
          <cell r="AM75" t="str">
            <v>Covered in Full</v>
          </cell>
          <cell r="BD75">
            <v>755.8</v>
          </cell>
          <cell r="BE75">
            <v>1511.6</v>
          </cell>
          <cell r="BF75">
            <v>1284.8599999999999</v>
          </cell>
          <cell r="BG75">
            <v>2154.04</v>
          </cell>
        </row>
        <row r="76">
          <cell r="C76" t="str">
            <v>Excellus SB Plus Platinum 3 </v>
          </cell>
          <cell r="H76" t="str">
            <v>Copay</v>
          </cell>
          <cell r="I76" t="str">
            <v>N/A</v>
          </cell>
          <cell r="J76" t="str">
            <v>N/A</v>
          </cell>
          <cell r="K76">
            <v>4500</v>
          </cell>
          <cell r="L76">
            <v>9000</v>
          </cell>
          <cell r="M76" t="str">
            <v>N/A</v>
          </cell>
          <cell r="N76">
            <v>25</v>
          </cell>
          <cell r="O76">
            <v>40</v>
          </cell>
          <cell r="P76">
            <v>40</v>
          </cell>
          <cell r="Q76" t="str">
            <v>Lab: $25/ X-Ray: $40</v>
          </cell>
          <cell r="R76">
            <v>150</v>
          </cell>
          <cell r="S76">
            <v>150</v>
          </cell>
          <cell r="T76">
            <v>500</v>
          </cell>
          <cell r="U76">
            <v>150</v>
          </cell>
          <cell r="V76">
            <v>500</v>
          </cell>
          <cell r="W76">
            <v>100</v>
          </cell>
          <cell r="X76">
            <v>500</v>
          </cell>
          <cell r="Y76">
            <v>25</v>
          </cell>
          <cell r="Z76">
            <v>40</v>
          </cell>
          <cell r="AA76">
            <v>25</v>
          </cell>
          <cell r="AB76">
            <v>40</v>
          </cell>
          <cell r="AC76" t="str">
            <v>$40 Copay for up to 60 visits per contract year</v>
          </cell>
          <cell r="AD76" t="str">
            <v>Adult/ Pediatric: $40 Copay for one routine exam per year</v>
          </cell>
          <cell r="AE76" t="str">
            <v>Adult: $60 allowance per year; Pediatric: Covered at 50% for one purchase per year</v>
          </cell>
          <cell r="AF76" t="str">
            <v>Covered at 50%</v>
          </cell>
          <cell r="AG76" t="str">
            <v>N/A</v>
          </cell>
          <cell r="AH76">
            <v>5</v>
          </cell>
          <cell r="AI76">
            <v>35</v>
          </cell>
          <cell r="AJ76">
            <v>70</v>
          </cell>
          <cell r="AK76" t="str">
            <v>Yes</v>
          </cell>
          <cell r="AL76" t="str">
            <v>N/A</v>
          </cell>
          <cell r="AM76" t="str">
            <v>Covered in Full</v>
          </cell>
          <cell r="BD76">
            <v>744.1</v>
          </cell>
          <cell r="BE76">
            <v>1488.2</v>
          </cell>
          <cell r="BF76">
            <v>1264.97</v>
          </cell>
          <cell r="BG76">
            <v>2120.6799999999998</v>
          </cell>
        </row>
        <row r="77">
          <cell r="C77" t="str">
            <v>Platinum 5 replaced by Platinum 6</v>
          </cell>
          <cell r="H77" t="str">
            <v>Copay</v>
          </cell>
          <cell r="I77" t="str">
            <v>N/A</v>
          </cell>
          <cell r="J77" t="str">
            <v>N/A</v>
          </cell>
          <cell r="K77">
            <v>6550</v>
          </cell>
          <cell r="L77">
            <v>13100</v>
          </cell>
          <cell r="M77" t="str">
            <v>N/A</v>
          </cell>
          <cell r="N77">
            <v>25</v>
          </cell>
          <cell r="O77">
            <v>40</v>
          </cell>
          <cell r="P77">
            <v>40</v>
          </cell>
          <cell r="Q77" t="str">
            <v>Lab: $25/ X-Ray: $40</v>
          </cell>
          <cell r="R77">
            <v>250</v>
          </cell>
          <cell r="S77">
            <v>250</v>
          </cell>
          <cell r="T77">
            <v>750</v>
          </cell>
          <cell r="U77">
            <v>250</v>
          </cell>
          <cell r="V77">
            <v>750</v>
          </cell>
          <cell r="W77">
            <v>100</v>
          </cell>
          <cell r="X77">
            <v>750</v>
          </cell>
          <cell r="Y77">
            <v>25</v>
          </cell>
          <cell r="Z77">
            <v>40</v>
          </cell>
          <cell r="AA77">
            <v>25</v>
          </cell>
          <cell r="AB77">
            <v>40</v>
          </cell>
          <cell r="AC77" t="str">
            <v>$40 Copay for up to 60 visits per contract year</v>
          </cell>
          <cell r="AD77" t="str">
            <v>Adult/ Pediatric: $40 Copay for one routine exam per year</v>
          </cell>
          <cell r="AE77" t="str">
            <v>Adult: $60 allowance per year; Pediatric: Covered at 50% for one purchase per year</v>
          </cell>
          <cell r="AF77" t="str">
            <v>Covered at 50%</v>
          </cell>
          <cell r="AG77" t="str">
            <v>N/A</v>
          </cell>
          <cell r="AH77">
            <v>5</v>
          </cell>
          <cell r="AI77">
            <v>35</v>
          </cell>
          <cell r="AJ77">
            <v>70</v>
          </cell>
          <cell r="AK77" t="str">
            <v>Yes</v>
          </cell>
          <cell r="AL77" t="str">
            <v>N/A</v>
          </cell>
          <cell r="AM77">
            <v>10</v>
          </cell>
        </row>
        <row r="78">
          <cell r="C78" t="str">
            <v>Excellus SB Plus Platinum 6</v>
          </cell>
          <cell r="H78" t="str">
            <v>Copay</v>
          </cell>
          <cell r="I78" t="str">
            <v>N/A</v>
          </cell>
          <cell r="J78" t="str">
            <v>N/A</v>
          </cell>
          <cell r="K78">
            <v>6550</v>
          </cell>
          <cell r="L78">
            <v>13100</v>
          </cell>
          <cell r="M78" t="str">
            <v>N/A</v>
          </cell>
          <cell r="N78">
            <v>30</v>
          </cell>
          <cell r="O78">
            <v>50</v>
          </cell>
          <cell r="P78">
            <v>50</v>
          </cell>
          <cell r="Q78" t="str">
            <v>Lab: $30/ X-Ray: $50</v>
          </cell>
          <cell r="R78">
            <v>250</v>
          </cell>
          <cell r="S78">
            <v>250</v>
          </cell>
          <cell r="T78">
            <v>750</v>
          </cell>
          <cell r="U78">
            <v>250</v>
          </cell>
          <cell r="V78">
            <v>750</v>
          </cell>
          <cell r="W78">
            <v>100</v>
          </cell>
          <cell r="X78">
            <v>750</v>
          </cell>
          <cell r="Y78">
            <v>30</v>
          </cell>
          <cell r="Z78">
            <v>50</v>
          </cell>
          <cell r="AA78">
            <v>30</v>
          </cell>
          <cell r="AB78">
            <v>50</v>
          </cell>
          <cell r="AC78" t="str">
            <v>$50 Copay for up to 60 visits per contract year</v>
          </cell>
          <cell r="AD78" t="str">
            <v>Adult/ Pediatric: $50 Copay for one routine exam per year</v>
          </cell>
          <cell r="AE78" t="str">
            <v>Adult: $60 allowance per year; Pediatric: Covered at 50% for one purchase per year</v>
          </cell>
          <cell r="AF78" t="str">
            <v>Covered at 50%</v>
          </cell>
          <cell r="AG78" t="str">
            <v>N/A</v>
          </cell>
          <cell r="AH78">
            <v>5</v>
          </cell>
          <cell r="AI78">
            <v>35</v>
          </cell>
          <cell r="AJ78">
            <v>70</v>
          </cell>
          <cell r="AK78" t="str">
            <v>Yes</v>
          </cell>
          <cell r="AL78" t="str">
            <v>N/A</v>
          </cell>
          <cell r="AM78" t="str">
            <v>Covered in Full</v>
          </cell>
          <cell r="BD78">
            <v>729.1</v>
          </cell>
          <cell r="BE78">
            <v>1458.2</v>
          </cell>
          <cell r="BF78">
            <v>1239.47</v>
          </cell>
          <cell r="BG78">
            <v>2077.94</v>
          </cell>
        </row>
        <row r="79">
          <cell r="C79" t="str">
            <v>Excellus SB Plus Standard Platinum </v>
          </cell>
          <cell r="H79" t="str">
            <v>Copay</v>
          </cell>
          <cell r="I79" t="str">
            <v>N/A</v>
          </cell>
          <cell r="J79" t="str">
            <v>N/A</v>
          </cell>
          <cell r="K79">
            <v>2000</v>
          </cell>
          <cell r="L79">
            <v>4000</v>
          </cell>
          <cell r="M79" t="str">
            <v>N/A</v>
          </cell>
          <cell r="N79">
            <v>15</v>
          </cell>
          <cell r="O79">
            <v>35</v>
          </cell>
          <cell r="P79">
            <v>55</v>
          </cell>
          <cell r="Q79" t="str">
            <v>Lab: $35/ X-Ray: $35</v>
          </cell>
          <cell r="R79">
            <v>100</v>
          </cell>
          <cell r="S79">
            <v>100</v>
          </cell>
          <cell r="T79">
            <v>500</v>
          </cell>
          <cell r="U79">
            <v>100</v>
          </cell>
          <cell r="V79">
            <v>500</v>
          </cell>
          <cell r="W79">
            <v>35</v>
          </cell>
          <cell r="X79">
            <v>500</v>
          </cell>
          <cell r="Y79">
            <v>15</v>
          </cell>
          <cell r="Z79">
            <v>15</v>
          </cell>
          <cell r="AA79">
            <v>15</v>
          </cell>
          <cell r="AB79">
            <v>35</v>
          </cell>
          <cell r="AC79" t="str">
            <v>$25 Copay for up to 60 visits per contract year</v>
          </cell>
          <cell r="AD79" t="str">
            <v>Pediatric: $15 copay for one routine exam per year</v>
          </cell>
          <cell r="AE79" t="str">
            <v>Pediatric: Covered at 90% for one purchase per year</v>
          </cell>
          <cell r="AF79" t="str">
            <v>Covered at 90%</v>
          </cell>
          <cell r="AG79" t="str">
            <v>N/A</v>
          </cell>
          <cell r="AH79">
            <v>10</v>
          </cell>
          <cell r="AI79">
            <v>30</v>
          </cell>
          <cell r="AJ79">
            <v>60</v>
          </cell>
          <cell r="AK79" t="str">
            <v>Yes</v>
          </cell>
          <cell r="AL79" t="str">
            <v>N/A</v>
          </cell>
          <cell r="AM79" t="str">
            <v>Covered in Full</v>
          </cell>
          <cell r="BD79">
            <v>751.05</v>
          </cell>
          <cell r="BE79">
            <v>1502.09</v>
          </cell>
          <cell r="BF79">
            <v>1276.78</v>
          </cell>
          <cell r="BG79">
            <v>2140.48</v>
          </cell>
        </row>
        <row r="80">
          <cell r="C80" t="str">
            <v>Standard Bronze replaced by Bronze 3</v>
          </cell>
          <cell r="H80" t="str">
            <v>HDHP</v>
          </cell>
          <cell r="I80">
            <v>4425</v>
          </cell>
          <cell r="J80">
            <v>8850</v>
          </cell>
          <cell r="K80">
            <v>8150</v>
          </cell>
          <cell r="L80">
            <v>16300</v>
          </cell>
          <cell r="M80">
            <v>0.5</v>
          </cell>
          <cell r="N80" t="str">
            <v>$0 first 3 visits; Covered at 50%, subject to deductible thereafter</v>
          </cell>
          <cell r="O80" t="str">
            <v>Covered at 50%, subject to deductible</v>
          </cell>
          <cell r="P80" t="str">
            <v>Covered at 50%, subject to deductible</v>
          </cell>
          <cell r="Q80" t="str">
            <v>Covered at 50%, subject to deductible</v>
          </cell>
          <cell r="R80" t="str">
            <v>Covered at 50%, subject to deductible</v>
          </cell>
          <cell r="S80" t="str">
            <v>Covered at 50%, subject to deductible</v>
          </cell>
          <cell r="T80" t="str">
            <v>Covered at 50%, subject to deductible</v>
          </cell>
          <cell r="U80" t="str">
            <v>Covered at 50%, subject to deductible</v>
          </cell>
          <cell r="V80" t="str">
            <v>Covered at 50%, subject to deductible</v>
          </cell>
          <cell r="W80" t="str">
            <v>Covered at 50%, subject to deductible</v>
          </cell>
          <cell r="X80" t="str">
            <v>Covered at 50%, subject to deductible</v>
          </cell>
          <cell r="Y80" t="str">
            <v>Covered at 50%, subject to deductible</v>
          </cell>
          <cell r="Z80" t="str">
            <v>Covered at 50%, subject to deductible</v>
          </cell>
          <cell r="AA80" t="str">
            <v>Covered at 50%, subject to deductible</v>
          </cell>
          <cell r="AB80" t="str">
            <v>Covered at 50%, subject to deductible</v>
          </cell>
          <cell r="AC80" t="str">
            <v>Covered at 50%, subject to deductible, for up to 60 visits per contract year</v>
          </cell>
          <cell r="AD80" t="str">
            <v>Pediatric: Covered at 50%, subject to deductible, for one routine exam per year</v>
          </cell>
          <cell r="AE80" t="str">
            <v>Pediatric: Covered at 50%, subject to deductible for one purchase per plan year</v>
          </cell>
          <cell r="AF80" t="str">
            <v>Covered at 50%, subject to deductible</v>
          </cell>
          <cell r="AG80" t="str">
            <v>Subject to plan deductible</v>
          </cell>
          <cell r="AH80">
            <v>10</v>
          </cell>
          <cell r="AI80">
            <v>35</v>
          </cell>
          <cell r="AJ80">
            <v>70</v>
          </cell>
          <cell r="AK80" t="str">
            <v>Yes</v>
          </cell>
          <cell r="AL80" t="str">
            <v>Embedded</v>
          </cell>
          <cell r="AM80" t="str">
            <v>Covered at 50%, subject to deductible</v>
          </cell>
        </row>
        <row r="81">
          <cell r="C81" t="str">
            <v>Excellus SB Plus Bronze 3 </v>
          </cell>
          <cell r="H81" t="str">
            <v>HDHP</v>
          </cell>
          <cell r="I81">
            <v>5500</v>
          </cell>
          <cell r="J81">
            <v>11000</v>
          </cell>
          <cell r="K81">
            <v>7000</v>
          </cell>
          <cell r="L81">
            <v>14000</v>
          </cell>
          <cell r="M81">
            <v>0.5</v>
          </cell>
          <cell r="N81" t="str">
            <v>Covered at 50%, subject to deductible</v>
          </cell>
          <cell r="O81" t="str">
            <v>Covered at 50%, subject to deductible</v>
          </cell>
          <cell r="P81" t="str">
            <v>Covered at 50%, subject to deductible</v>
          </cell>
          <cell r="Q81" t="str">
            <v>Covered at 50%, subject to deductible</v>
          </cell>
          <cell r="R81" t="str">
            <v>Covered at 50%, subject to deductible</v>
          </cell>
          <cell r="S81" t="str">
            <v>Covered at 50%, subject to deductible</v>
          </cell>
          <cell r="T81" t="str">
            <v>Covered at 50%, subject to deductible</v>
          </cell>
          <cell r="U81" t="str">
            <v>Covered at 50%, subject to deductible</v>
          </cell>
          <cell r="V81" t="str">
            <v>Covered at 50%, subject to deductible</v>
          </cell>
          <cell r="W81" t="str">
            <v>Covered at 50%, subject to deductible</v>
          </cell>
          <cell r="X81" t="str">
            <v>Covered at 50%, subject to deductible</v>
          </cell>
          <cell r="Y81" t="str">
            <v>Covered at 50%, subject to deductible</v>
          </cell>
          <cell r="Z81" t="str">
            <v>Covered at 50%, subject to deductible</v>
          </cell>
          <cell r="AA81" t="str">
            <v>Covered at 50%, subject to deductible</v>
          </cell>
          <cell r="AB81" t="str">
            <v>Covered at 50%, subject to deductible</v>
          </cell>
          <cell r="AC81" t="str">
            <v>Covered at 50%, subject to deductible, for up to 60 visits per contract year</v>
          </cell>
          <cell r="AD81" t="str">
            <v>Adult/ Pediatric: Covered at 50%, subject to deductible, for one routine exam per year</v>
          </cell>
          <cell r="AE81" t="str">
            <v>Adult: $60 allowance per year; Pediatric: Covered at 50%, subject to deductible, for one purchase per year</v>
          </cell>
          <cell r="AF81" t="str">
            <v>Covered at 50%, subject to deductible</v>
          </cell>
          <cell r="AG81" t="str">
            <v>Subject to plan deductible (except preventive drugs)</v>
          </cell>
          <cell r="AH81">
            <v>10</v>
          </cell>
          <cell r="AI81">
            <v>0.4</v>
          </cell>
          <cell r="AJ81">
            <v>0.5</v>
          </cell>
          <cell r="AK81" t="str">
            <v>Yes</v>
          </cell>
          <cell r="AL81" t="str">
            <v>Aggregate</v>
          </cell>
          <cell r="AM81" t="str">
            <v>$0, subject to deductible</v>
          </cell>
          <cell r="BD81">
            <v>401.69</v>
          </cell>
          <cell r="BE81">
            <v>803.38</v>
          </cell>
          <cell r="BF81">
            <v>682.87</v>
          </cell>
          <cell r="BG81">
            <v>1144.82</v>
          </cell>
        </row>
        <row r="82">
          <cell r="C82" t="str">
            <v>Excellus SB Plus Bronze 4 </v>
          </cell>
          <cell r="H82" t="str">
            <v>HDHP</v>
          </cell>
          <cell r="I82">
            <v>7000</v>
          </cell>
          <cell r="J82">
            <v>14000</v>
          </cell>
          <cell r="K82">
            <v>7000</v>
          </cell>
          <cell r="L82">
            <v>14000</v>
          </cell>
          <cell r="M82">
            <v>0</v>
          </cell>
          <cell r="N82" t="str">
            <v>Covered at 100%, subject to deductible</v>
          </cell>
          <cell r="O82" t="str">
            <v>Covered at 100%, subject to deductible</v>
          </cell>
          <cell r="P82" t="str">
            <v>Covered at 100%, subject to deductible</v>
          </cell>
          <cell r="Q82" t="str">
            <v>Covered at 100%, subject to deductible</v>
          </cell>
          <cell r="R82" t="str">
            <v>Covered at 100%, subject to deductible</v>
          </cell>
          <cell r="S82" t="str">
            <v>Covered at 100%, subject to deductible</v>
          </cell>
          <cell r="T82" t="str">
            <v>Covered at 100%, subject to deductible</v>
          </cell>
          <cell r="U82" t="str">
            <v>Covered at 100%, subject to deductible</v>
          </cell>
          <cell r="V82" t="str">
            <v>Covered at 100%, subject to deductible</v>
          </cell>
          <cell r="W82" t="str">
            <v>Covered at 100%, subject to deductible</v>
          </cell>
          <cell r="X82" t="str">
            <v>Covered at 100%, subject to deductible</v>
          </cell>
          <cell r="Y82" t="str">
            <v>Covered at 100%, subject to deductible</v>
          </cell>
          <cell r="Z82" t="str">
            <v>Covered at 100%, subject to deductible</v>
          </cell>
          <cell r="AA82" t="str">
            <v>Covered at 100%, subject to deductible</v>
          </cell>
          <cell r="AB82" t="str">
            <v>Covered at 100%, subject to deductible</v>
          </cell>
          <cell r="AC82" t="str">
            <v>Covered at 100%, subject to deductible, for up to 60 visits per contract year</v>
          </cell>
          <cell r="AD82" t="str">
            <v>Adult/ Pediatric: Covered at 100%, subject to deductible, for one routine exam per year</v>
          </cell>
          <cell r="AE82" t="str">
            <v>Adult: $60 allowance per year; Pediatric: Covered at 100%, subject to deductible, for one purchase per year</v>
          </cell>
          <cell r="AF82" t="str">
            <v>Covered at 100%, subject to deductible</v>
          </cell>
          <cell r="AG82" t="str">
            <v>Subject to plan deductible (except preventive drugs)</v>
          </cell>
          <cell r="AH82">
            <v>0</v>
          </cell>
          <cell r="AI82">
            <v>0</v>
          </cell>
          <cell r="AJ82">
            <v>0</v>
          </cell>
          <cell r="AK82" t="str">
            <v>Yes</v>
          </cell>
          <cell r="AL82" t="str">
            <v>Aggregate</v>
          </cell>
          <cell r="AM82" t="str">
            <v>$0, subject to deductible</v>
          </cell>
          <cell r="BD82">
            <v>396.68</v>
          </cell>
          <cell r="BE82">
            <v>793.35</v>
          </cell>
          <cell r="BF82">
            <v>674.35</v>
          </cell>
          <cell r="BG82">
            <v>1130.52</v>
          </cell>
        </row>
        <row r="83">
          <cell r="C83" t="str">
            <v>Excellus SB Plus Bronze 5</v>
          </cell>
          <cell r="H83" t="str">
            <v xml:space="preserve">Deductible </v>
          </cell>
          <cell r="I83">
            <v>6000</v>
          </cell>
          <cell r="J83">
            <v>12000</v>
          </cell>
          <cell r="K83">
            <v>7000</v>
          </cell>
          <cell r="L83">
            <v>14000</v>
          </cell>
          <cell r="M83">
            <v>0</v>
          </cell>
          <cell r="N83" t="str">
            <v>$40 Copay, subject to deductible</v>
          </cell>
          <cell r="O83" t="str">
            <v>$60 Copay, subject to deductible</v>
          </cell>
          <cell r="P83" t="str">
            <v>$60 Copay, subject to deductible</v>
          </cell>
          <cell r="Q83" t="str">
            <v>Lab: $40/ X-Ray: $60, both subject to deductible</v>
          </cell>
          <cell r="R83" t="str">
            <v>$500 Copay, subject to deductible</v>
          </cell>
          <cell r="S83" t="str">
            <v>$500 Copay, subject to deductible</v>
          </cell>
          <cell r="T83" t="str">
            <v>$1,000 Copay, subject to deductible</v>
          </cell>
          <cell r="U83" t="str">
            <v>$500 Copay, subject to deductible</v>
          </cell>
          <cell r="V83" t="str">
            <v>$1,000 Copay, subject to deductible</v>
          </cell>
          <cell r="W83" t="str">
            <v>$100 Copay, subject to deductible</v>
          </cell>
          <cell r="X83" t="str">
            <v>$1,000 Copay, subject to deductible</v>
          </cell>
          <cell r="Y83" t="str">
            <v>$40 Copay, subject to deductible</v>
          </cell>
          <cell r="Z83" t="str">
            <v>$60 Copay, subject to deductible</v>
          </cell>
          <cell r="AA83" t="str">
            <v>$40 Copay, subject to deductible</v>
          </cell>
          <cell r="AB83" t="str">
            <v>$60 Copay, subject to deductible</v>
          </cell>
          <cell r="AC83" t="str">
            <v>$60 Copay, subject to deductible, for up to 60 visits per contract year</v>
          </cell>
          <cell r="AD83" t="str">
            <v>Adult/ Pediatric: $60 Copay, subject to deductible, for one routine exam per year</v>
          </cell>
          <cell r="AE83" t="str">
            <v>Adult: $60 allowance per year; Pediatric: Covered at 50%, subject to deductible, for one purchase per year</v>
          </cell>
          <cell r="AF83" t="str">
            <v>Covered at 50%, subject to deductible</v>
          </cell>
          <cell r="AG83" t="str">
            <v>Subject to plan deductible (except preventive drugs)</v>
          </cell>
          <cell r="AH83">
            <v>10</v>
          </cell>
          <cell r="AI83">
            <v>45</v>
          </cell>
          <cell r="AJ83">
            <v>90</v>
          </cell>
          <cell r="AK83" t="str">
            <v>Yes</v>
          </cell>
          <cell r="AL83" t="str">
            <v>Aggregate</v>
          </cell>
          <cell r="AM83" t="str">
            <v>$0, subject to deductible</v>
          </cell>
          <cell r="BD83">
            <v>402.32</v>
          </cell>
          <cell r="BE83">
            <v>804.64</v>
          </cell>
          <cell r="BF83">
            <v>683.95</v>
          </cell>
          <cell r="BG83">
            <v>1146.6099999999999</v>
          </cell>
        </row>
        <row r="84">
          <cell r="C84" t="str">
            <v>Bronze 6 replaced by Bronze 3</v>
          </cell>
          <cell r="H84" t="str">
            <v>Deductible</v>
          </cell>
          <cell r="I84">
            <v>4500</v>
          </cell>
          <cell r="J84">
            <v>9000</v>
          </cell>
          <cell r="K84">
            <v>6750</v>
          </cell>
          <cell r="L84">
            <v>13500</v>
          </cell>
          <cell r="M84">
            <v>0.25</v>
          </cell>
          <cell r="N84" t="str">
            <v>Covered at 75%, subject to deductible</v>
          </cell>
          <cell r="O84" t="str">
            <v>Covered at 75%, subject to deductible</v>
          </cell>
          <cell r="P84" t="str">
            <v>Covered at 75%, subject to deductible</v>
          </cell>
          <cell r="Q84" t="str">
            <v>Covered at 75%, subject to deductible</v>
          </cell>
          <cell r="R84" t="str">
            <v>Covered at 75%, subject to deductible</v>
          </cell>
          <cell r="S84" t="str">
            <v>Covered at 75%, subject to deductible</v>
          </cell>
          <cell r="T84" t="str">
            <v>Covered at 75%, subject to deductible</v>
          </cell>
          <cell r="U84" t="str">
            <v>Covered at 75%, subject to deductible</v>
          </cell>
          <cell r="V84" t="str">
            <v>Covered at 75%, subject to deductible</v>
          </cell>
          <cell r="W84" t="str">
            <v>Covered at 75%, subject to deductible</v>
          </cell>
          <cell r="X84" t="str">
            <v>Covered at 75%, subject to deductible</v>
          </cell>
          <cell r="Y84" t="str">
            <v>Covered at 75%, subject to deductible</v>
          </cell>
          <cell r="Z84" t="str">
            <v>Covered at 75%, subject to deductible</v>
          </cell>
          <cell r="AA84" t="str">
            <v>Covered at 75%, subject to deductible</v>
          </cell>
          <cell r="AB84" t="str">
            <v>Covered at 75%, subject to deductible</v>
          </cell>
          <cell r="AC84" t="str">
            <v>Covered at 75%, subject to deductible, for up to 60 visits per contract year</v>
          </cell>
          <cell r="AD84" t="str">
            <v>Adult/ Pediatric: Covered at 75%, subject to deductible, for one routine exam per year</v>
          </cell>
          <cell r="AE84" t="str">
            <v>Adult: $60 allowance per year; Pediatric: Covered at 50%, subject to deductible, for one purchase per year</v>
          </cell>
          <cell r="AF84" t="str">
            <v>Covered at 50%, subject to deductible</v>
          </cell>
          <cell r="AG84" t="str">
            <v>Subject to plan deductible (except preventive drugs)</v>
          </cell>
          <cell r="AH84">
            <v>5</v>
          </cell>
          <cell r="AI84">
            <v>45</v>
          </cell>
          <cell r="AJ84">
            <v>90</v>
          </cell>
          <cell r="AK84" t="str">
            <v>Yes</v>
          </cell>
          <cell r="AL84" t="str">
            <v>Aggregate</v>
          </cell>
          <cell r="AM84" t="str">
            <v>Covered at 75%, subject to deductible</v>
          </cell>
        </row>
        <row r="85">
          <cell r="C85" t="str">
            <v>Excellus SB Plus Gold 6 </v>
          </cell>
          <cell r="H85" t="str">
            <v>HDHP</v>
          </cell>
          <cell r="I85">
            <v>1600</v>
          </cell>
          <cell r="J85">
            <v>3200</v>
          </cell>
          <cell r="K85">
            <v>3200</v>
          </cell>
          <cell r="L85">
            <v>6400</v>
          </cell>
          <cell r="M85">
            <v>0.2</v>
          </cell>
          <cell r="N85" t="str">
            <v>Covered at 80%, subject to deductible</v>
          </cell>
          <cell r="O85" t="str">
            <v>Covered at 80%, subject to deductible</v>
          </cell>
          <cell r="P85" t="str">
            <v>Covered at 80%, subject to deductible</v>
          </cell>
          <cell r="Q85" t="str">
            <v>Covered at 80%, subject to deductible</v>
          </cell>
          <cell r="R85" t="str">
            <v>Covered at 80%, subject to deductible</v>
          </cell>
          <cell r="S85" t="str">
            <v>Covered at 80%, subject to deductible</v>
          </cell>
          <cell r="T85" t="str">
            <v>Covered at 80%, subject to deductible</v>
          </cell>
          <cell r="U85" t="str">
            <v>Covered at 80%, subject to deductible</v>
          </cell>
          <cell r="V85" t="str">
            <v>Covered at 80%, subject to deductible</v>
          </cell>
          <cell r="W85" t="str">
            <v>Covered at 80%, subject to deductible</v>
          </cell>
          <cell r="X85" t="str">
            <v>Covered at 80%, subject to deductible</v>
          </cell>
          <cell r="Y85" t="str">
            <v>Covered at 80%, subject to deductible</v>
          </cell>
          <cell r="Z85" t="str">
            <v>Covered at 80%, subject to deductible</v>
          </cell>
          <cell r="AA85" t="str">
            <v>Covered at 80%, subject to deductible</v>
          </cell>
          <cell r="AB85" t="str">
            <v>Covered at 80%, subject to deductible</v>
          </cell>
          <cell r="AC85" t="str">
            <v>Covered at 80%, subject to deductible, for up to 60 visits per contract year</v>
          </cell>
          <cell r="AD85" t="str">
            <v>Adult/ Pediatric: Covered at 80%, subject to deductible, for one routine exam per year</v>
          </cell>
          <cell r="AE85" t="str">
            <v>Adult: $60 allowance per year; Pediatric: Covered at 50%, subject to deductible, for one purchase per year</v>
          </cell>
          <cell r="AF85" t="str">
            <v>Covered at 50%, subject to deductible</v>
          </cell>
          <cell r="AG85" t="str">
            <v>Subject to plan deductible (except preventive drugs)</v>
          </cell>
          <cell r="AH85">
            <v>5</v>
          </cell>
          <cell r="AI85">
            <v>35</v>
          </cell>
          <cell r="AJ85">
            <v>70</v>
          </cell>
          <cell r="AK85" t="str">
            <v>Yes</v>
          </cell>
          <cell r="AL85" t="str">
            <v>Aggregate</v>
          </cell>
          <cell r="AM85" t="str">
            <v>$0, subject to deductible</v>
          </cell>
          <cell r="BD85">
            <v>599.44000000000005</v>
          </cell>
          <cell r="BE85">
            <v>1198.8900000000001</v>
          </cell>
          <cell r="BF85">
            <v>1019.06</v>
          </cell>
          <cell r="BG85">
            <v>1708.42</v>
          </cell>
        </row>
        <row r="86">
          <cell r="C86" t="str">
            <v>Excellus SB Plus Silver 2 </v>
          </cell>
          <cell r="H86" t="str">
            <v>HDHP</v>
          </cell>
          <cell r="I86">
            <v>2600</v>
          </cell>
          <cell r="J86">
            <v>5200</v>
          </cell>
          <cell r="K86">
            <v>7000</v>
          </cell>
          <cell r="L86">
            <v>14000</v>
          </cell>
          <cell r="M86">
            <v>0.2</v>
          </cell>
          <cell r="N86" t="str">
            <v>Covered at 80%, subject to deductible</v>
          </cell>
          <cell r="O86" t="str">
            <v>Covered at 80%, subject to deductible</v>
          </cell>
          <cell r="P86" t="str">
            <v>Covered at 80%, subject to deductible</v>
          </cell>
          <cell r="Q86" t="str">
            <v>Covered at 80%, subject to deductible</v>
          </cell>
          <cell r="R86" t="str">
            <v>Covered at 80%, subject to deductible</v>
          </cell>
          <cell r="S86" t="str">
            <v>Covered at 80%, subject to deductible</v>
          </cell>
          <cell r="T86" t="str">
            <v>Covered at 80%, subject to deductible</v>
          </cell>
          <cell r="U86" t="str">
            <v>Covered at 80%, subject to deductible</v>
          </cell>
          <cell r="V86" t="str">
            <v>Covered at 80%, subject to deductible</v>
          </cell>
          <cell r="W86" t="str">
            <v>Covered at 80%, subject to deductible</v>
          </cell>
          <cell r="X86" t="str">
            <v>Covered at 80%, subject to deductible</v>
          </cell>
          <cell r="Y86" t="str">
            <v>Covered at 80%, subject to deductible</v>
          </cell>
          <cell r="Z86" t="str">
            <v>Covered at 80%, subject to deductible</v>
          </cell>
          <cell r="AA86" t="str">
            <v>Covered at 80%, subject to deductible</v>
          </cell>
          <cell r="AB86" t="str">
            <v>Covered at 80%, subject to deductible</v>
          </cell>
          <cell r="AC86" t="str">
            <v>Covered at 80%, subject to deductible, for up to 60 visits per contract year</v>
          </cell>
          <cell r="AD86" t="str">
            <v>Adult/ Pediatric: Covered at 80%, subject to deductible, for one routine exam per year</v>
          </cell>
          <cell r="AE86" t="str">
            <v>Adult: $60 allowance per year; Pediatric: Covered at 50%, subject to deductible, for one purchase per year</v>
          </cell>
          <cell r="AF86" t="str">
            <v>Covered at 50%, subject to deductible</v>
          </cell>
          <cell r="AG86" t="str">
            <v>Subject to plan deductible (except preventive drugs)</v>
          </cell>
          <cell r="AH86">
            <v>5</v>
          </cell>
          <cell r="AI86">
            <v>45</v>
          </cell>
          <cell r="AJ86">
            <v>90</v>
          </cell>
          <cell r="AK86" t="str">
            <v>Yes</v>
          </cell>
          <cell r="AL86" t="str">
            <v>Aggregate</v>
          </cell>
          <cell r="AM86" t="str">
            <v>$0, subject to deductible</v>
          </cell>
          <cell r="BD86">
            <v>511.11</v>
          </cell>
          <cell r="BE86">
            <v>1022.21</v>
          </cell>
          <cell r="BF86">
            <v>868.88</v>
          </cell>
          <cell r="BG86">
            <v>1456.65</v>
          </cell>
        </row>
        <row r="87">
          <cell r="C87" t="str">
            <v>Silver 4 replaced by Silver 2</v>
          </cell>
          <cell r="H87" t="str">
            <v>HDHP</v>
          </cell>
          <cell r="I87">
            <v>2750</v>
          </cell>
          <cell r="J87">
            <v>5500</v>
          </cell>
          <cell r="K87">
            <v>6750</v>
          </cell>
          <cell r="L87">
            <v>13500</v>
          </cell>
          <cell r="M87">
            <v>0.15</v>
          </cell>
          <cell r="N87" t="str">
            <v>Covered at 85%, subject to deductible</v>
          </cell>
          <cell r="O87" t="str">
            <v>Covered at 85%, subject to deductible</v>
          </cell>
          <cell r="P87" t="str">
            <v>Covered at 85%, subject to deductible</v>
          </cell>
          <cell r="Q87" t="str">
            <v>Covered at 85%, subject to deductible</v>
          </cell>
          <cell r="R87" t="str">
            <v>Covered at 85%, subject to deductible</v>
          </cell>
          <cell r="S87" t="str">
            <v>Covered at 85%, subject to deductible</v>
          </cell>
          <cell r="T87" t="str">
            <v>Covered at 85%, subject to deductible</v>
          </cell>
          <cell r="U87" t="str">
            <v>Covered at 85%, subject to deductible</v>
          </cell>
          <cell r="V87" t="str">
            <v>Covered at 85%, subject to deductible</v>
          </cell>
          <cell r="W87" t="str">
            <v>Covered at 85%, subject to deductible</v>
          </cell>
          <cell r="X87" t="str">
            <v>Covered at 85%, subject to deductible</v>
          </cell>
          <cell r="Y87" t="str">
            <v>Covered at 85%, subject to deductible</v>
          </cell>
          <cell r="Z87" t="str">
            <v>Covered at 85%, subject to deductible</v>
          </cell>
          <cell r="AA87" t="str">
            <v>Covered at 85%, subject to deductible</v>
          </cell>
          <cell r="AB87" t="str">
            <v>Covered at 85%, subject to deductible</v>
          </cell>
          <cell r="AC87" t="str">
            <v>Covered at 85%, subject to deductible, for up to 60 visits per contract year</v>
          </cell>
          <cell r="AD87" t="str">
            <v>Adult/ Pediatric: Covered at 85%, subject to deductible, for one routine exam per year</v>
          </cell>
          <cell r="AE87" t="str">
            <v>Adult: $60 allowance per year; Pediatric: Covered at 50%, subject to deductible, for one purchase per year</v>
          </cell>
          <cell r="AF87" t="str">
            <v>Covered at 50%, subject to deductible</v>
          </cell>
          <cell r="AG87" t="str">
            <v>Subject to plan deductible (except preventive drugs)</v>
          </cell>
          <cell r="AH87">
            <v>5</v>
          </cell>
          <cell r="AI87">
            <v>35</v>
          </cell>
          <cell r="AJ87">
            <v>70</v>
          </cell>
          <cell r="AK87" t="str">
            <v>Yes</v>
          </cell>
          <cell r="AL87" t="str">
            <v>Aggregate</v>
          </cell>
          <cell r="AM87" t="str">
            <v>Covered at 85%, subject to deductible</v>
          </cell>
        </row>
        <row r="88">
          <cell r="C88" t="str">
            <v>Excellus SB Plus Silver 14</v>
          </cell>
          <cell r="H88" t="str">
            <v>HDHP</v>
          </cell>
          <cell r="I88">
            <v>2800</v>
          </cell>
          <cell r="J88">
            <v>5600</v>
          </cell>
          <cell r="K88">
            <v>6550</v>
          </cell>
          <cell r="L88">
            <v>13100</v>
          </cell>
          <cell r="M88">
            <v>0.2</v>
          </cell>
          <cell r="N88" t="str">
            <v>Covered at 80%, subject to deductible</v>
          </cell>
          <cell r="O88" t="str">
            <v>Covered at 80%, subject to deductible</v>
          </cell>
          <cell r="P88" t="str">
            <v>Covered at 80%, subject to deductible</v>
          </cell>
          <cell r="Q88" t="str">
            <v>Covered at 80%, subject to deductible</v>
          </cell>
          <cell r="R88" t="str">
            <v>Covered at 80%, subject to deductible</v>
          </cell>
          <cell r="S88" t="str">
            <v>Covered at 80%, subject to deductible</v>
          </cell>
          <cell r="T88" t="str">
            <v>Covered at 80%, subject to deductible</v>
          </cell>
          <cell r="U88" t="str">
            <v>Covered at 80%, subject to deductible</v>
          </cell>
          <cell r="V88" t="str">
            <v>Covered at 80%, subject to deductible</v>
          </cell>
          <cell r="W88" t="str">
            <v>Covered at 80%, subject to deductible</v>
          </cell>
          <cell r="X88" t="str">
            <v>Covered at 80%, subject to deductible</v>
          </cell>
          <cell r="Y88" t="str">
            <v>Covered at 80%, subject to deductible</v>
          </cell>
          <cell r="Z88" t="str">
            <v>Covered at 80%, subject to deductible</v>
          </cell>
          <cell r="AA88" t="str">
            <v>Covered at 80%, subject to deductible</v>
          </cell>
          <cell r="AB88" t="str">
            <v>Covered at 80%, subject to deductible</v>
          </cell>
          <cell r="AC88" t="str">
            <v>Covered at 80%, subject to deductible, for up to 60 visits per contract year</v>
          </cell>
          <cell r="AD88" t="str">
            <v>Adult/ Pediatric: Covered at 80%, subject to deductible, for one routine exam per year</v>
          </cell>
          <cell r="AE88" t="str">
            <v>Adult: $60 allowance per year; Pediatric: Covered at 50%, subject to deductible, for one purchase per year</v>
          </cell>
          <cell r="AF88" t="str">
            <v>Covered at 50%, subject to deductible</v>
          </cell>
          <cell r="AG88" t="str">
            <v>Subject to plan deductible (except preventive drugs)</v>
          </cell>
          <cell r="AH88">
            <v>5</v>
          </cell>
          <cell r="AI88">
            <v>45</v>
          </cell>
          <cell r="AJ88">
            <v>90</v>
          </cell>
          <cell r="AK88" t="str">
            <v>Yes</v>
          </cell>
          <cell r="AL88" t="str">
            <v>Aggregate</v>
          </cell>
          <cell r="AM88" t="str">
            <v>$0, subject to deductible</v>
          </cell>
          <cell r="BD88">
            <v>504.75</v>
          </cell>
          <cell r="BE88">
            <v>1009.49</v>
          </cell>
          <cell r="BF88">
            <v>858.07</v>
          </cell>
          <cell r="BG88">
            <v>1438.53</v>
          </cell>
        </row>
        <row r="89">
          <cell r="C89" t="str">
            <v>Excellus SB Plus Standard Bronze HSA </v>
          </cell>
          <cell r="H89" t="str">
            <v>Deductible</v>
          </cell>
          <cell r="I89">
            <v>6100</v>
          </cell>
          <cell r="J89">
            <v>12200</v>
          </cell>
          <cell r="K89">
            <v>6900</v>
          </cell>
          <cell r="L89">
            <v>13800</v>
          </cell>
          <cell r="M89">
            <v>0.5</v>
          </cell>
          <cell r="N89" t="str">
            <v>Covered at 50%, subject to deductible</v>
          </cell>
          <cell r="O89" t="str">
            <v>Covered at 50%, subject to deductible</v>
          </cell>
          <cell r="P89" t="str">
            <v>Covered at 50%, subject to deductible</v>
          </cell>
          <cell r="Q89" t="str">
            <v>Covered at 50%, subject to deductible</v>
          </cell>
          <cell r="R89" t="str">
            <v>Covered at 50%, subject to deductible</v>
          </cell>
          <cell r="S89" t="str">
            <v>Covered at 50%, subject to deductible</v>
          </cell>
          <cell r="T89" t="str">
            <v>Covered at 50%, subject to deductible</v>
          </cell>
          <cell r="U89" t="str">
            <v>Covered at 50%, subject to deductible</v>
          </cell>
          <cell r="V89" t="str">
            <v>Covered at 50%, subject to deductible</v>
          </cell>
          <cell r="W89" t="str">
            <v>Covered at 50%, subject to deductible</v>
          </cell>
          <cell r="X89" t="str">
            <v>Covered at 50%, subject to deductible</v>
          </cell>
          <cell r="Y89" t="str">
            <v>Covered at 50%, subject to deductible</v>
          </cell>
          <cell r="Z89" t="str">
            <v>Covered at 50%, subject to deductible</v>
          </cell>
          <cell r="AA89" t="str">
            <v>Covered at 50%, subject to deductible</v>
          </cell>
          <cell r="AB89" t="str">
            <v>Covered at 50%, subject to deductible</v>
          </cell>
          <cell r="AC89" t="str">
            <v>Covered at 50%, subject to deductible, for up to 60 visits per contract year</v>
          </cell>
          <cell r="AD89" t="str">
            <v>Pediatric: Covered at 50%, subject to deductible, for one routine exam per year</v>
          </cell>
          <cell r="AE89" t="str">
            <v>Pediatric: Covered at 50%, subject to deductible for one purchase per plan year</v>
          </cell>
          <cell r="AF89" t="str">
            <v>Covered at 50%, subject to deductible</v>
          </cell>
          <cell r="AG89" t="str">
            <v>Subject to plan deductible</v>
          </cell>
          <cell r="AH89">
            <v>10</v>
          </cell>
          <cell r="AI89">
            <v>35</v>
          </cell>
          <cell r="AJ89">
            <v>70</v>
          </cell>
          <cell r="AK89" t="str">
            <v>Yes</v>
          </cell>
          <cell r="AL89" t="str">
            <v>Embedded</v>
          </cell>
          <cell r="AM89" t="str">
            <v>$0, subject to deductible</v>
          </cell>
          <cell r="BD89">
            <v>402.11</v>
          </cell>
          <cell r="BE89">
            <v>804.21</v>
          </cell>
          <cell r="BF89">
            <v>683.58</v>
          </cell>
          <cell r="BG89">
            <v>1146</v>
          </cell>
        </row>
        <row r="90">
          <cell r="C90" t="str">
            <v>Excellus Healthy NY EPO</v>
          </cell>
          <cell r="H90" t="str">
            <v>Hybrid</v>
          </cell>
          <cell r="I90">
            <v>600</v>
          </cell>
          <cell r="J90">
            <v>1200</v>
          </cell>
          <cell r="K90">
            <v>4000</v>
          </cell>
          <cell r="L90">
            <v>8000</v>
          </cell>
          <cell r="M90">
            <v>0</v>
          </cell>
          <cell r="N90" t="str">
            <v>$25 Copay, subject to deductible</v>
          </cell>
          <cell r="O90" t="str">
            <v>$40 Copay, subject to deductible</v>
          </cell>
          <cell r="P90" t="str">
            <v>$60 Copay, subject to deductible</v>
          </cell>
          <cell r="Q90" t="str">
            <v>Lab &amp; X-Ray: $25 PCP/ $40 Specialist, subject to deductible</v>
          </cell>
          <cell r="R90" t="str">
            <v>$150 Copay, subject to deductible</v>
          </cell>
          <cell r="S90" t="str">
            <v>$150 Copay, subject to deductible</v>
          </cell>
          <cell r="T90" t="str">
            <v>$1,000 Copay, subject to deductible</v>
          </cell>
          <cell r="U90" t="str">
            <v>$100 Copay, subject to deductible</v>
          </cell>
          <cell r="V90" t="str">
            <v>$1,000 Copay, subject to deductible</v>
          </cell>
          <cell r="W90" t="str">
            <v>$40 Copay, subject to deductible</v>
          </cell>
          <cell r="X90" t="str">
            <v>$1,000 Copay, subject to deductible</v>
          </cell>
          <cell r="Y90" t="str">
            <v>$25 Copay, subject to deductible</v>
          </cell>
          <cell r="Z90" t="str">
            <v>$25 Copay, subject to deductible</v>
          </cell>
          <cell r="AA90" t="str">
            <v>$25 Copay, subject to deductible</v>
          </cell>
          <cell r="AB90" t="str">
            <v>$40 Copay, subject to deductible</v>
          </cell>
          <cell r="AC90" t="str">
            <v>$30 Copay, subject to deductible, for up to 60 visits per contract year</v>
          </cell>
          <cell r="AD90" t="str">
            <v>Pediatric: $25 copay, subject to deductible, for one routine exam per year</v>
          </cell>
          <cell r="AE90" t="str">
            <v>Pediatric: Covered at 80%, subject to deductible for one purchase per plan year</v>
          </cell>
          <cell r="AF90" t="str">
            <v>Covered at 80%, subject to deductible</v>
          </cell>
          <cell r="AG90" t="str">
            <v>N/A</v>
          </cell>
          <cell r="AH90">
            <v>10</v>
          </cell>
          <cell r="AI90">
            <v>35</v>
          </cell>
          <cell r="AJ90">
            <v>70</v>
          </cell>
          <cell r="AK90" t="str">
            <v>Yes</v>
          </cell>
          <cell r="AL90" t="str">
            <v>Embedded</v>
          </cell>
          <cell r="AM90" t="str">
            <v>$0, subject to deductible</v>
          </cell>
          <cell r="BD90">
            <v>360.93</v>
          </cell>
          <cell r="BE90">
            <v>721.86</v>
          </cell>
          <cell r="BF90">
            <v>613.58000000000004</v>
          </cell>
          <cell r="BG90">
            <v>1028.6600000000001</v>
          </cell>
        </row>
        <row r="91">
          <cell r="C91" t="str">
            <v>Excellus SB Plus Gold 13</v>
          </cell>
          <cell r="H91" t="str">
            <v>Hybrid</v>
          </cell>
          <cell r="I91">
            <v>850</v>
          </cell>
          <cell r="J91">
            <v>1700</v>
          </cell>
          <cell r="K91">
            <v>8000</v>
          </cell>
          <cell r="L91">
            <v>16000</v>
          </cell>
          <cell r="M91">
            <v>0.2</v>
          </cell>
          <cell r="N91" t="str">
            <v>$15 Copay, subject to deductible</v>
          </cell>
          <cell r="O91" t="str">
            <v>$40 Copay, subject to deductible</v>
          </cell>
          <cell r="P91" t="str">
            <v>$40 Copay, subject to deductible</v>
          </cell>
          <cell r="Q91" t="str">
            <v>Lab: $15/ X-Ray: $40, subject to deductible</v>
          </cell>
          <cell r="R91" t="str">
            <v>$200 Copay, subject to deductible</v>
          </cell>
          <cell r="S91" t="str">
            <v>$200 Copay, subject to deductible</v>
          </cell>
          <cell r="T91" t="str">
            <v>Covered at 80%, subject to deductible</v>
          </cell>
          <cell r="U91" t="str">
            <v>Covered at 80%, subject to deductible</v>
          </cell>
          <cell r="V91" t="str">
            <v>Covered at 80%, subject to deductible</v>
          </cell>
          <cell r="W91" t="str">
            <v>$100 Copay, subject to deductible</v>
          </cell>
          <cell r="X91" t="str">
            <v>Covered at 80%, subject to deductible</v>
          </cell>
          <cell r="Y91" t="str">
            <v>$15 Copay, subject to deductible</v>
          </cell>
          <cell r="Z91" t="str">
            <v>$40 Copay, subject to deductible</v>
          </cell>
          <cell r="AA91" t="str">
            <v>$15 Copay, subject to deductible</v>
          </cell>
          <cell r="AB91" t="str">
            <v>$40 Copay, subject to deductible</v>
          </cell>
          <cell r="AC91" t="str">
            <v>$40 Copay, subject to deductible, for up to 60 visits per contract year</v>
          </cell>
          <cell r="AD91" t="str">
            <v>Adult/ Pediatric: $40 Copay, subject to deductible, for one routine exam per year</v>
          </cell>
          <cell r="AE91" t="str">
            <v>Adult: $60 allowance per year; Pediatric: Covered at 50%, subject to deductible, for one purchase per year</v>
          </cell>
          <cell r="AF91" t="str">
            <v>Covered at 50%, subject to deductible</v>
          </cell>
          <cell r="AG91" t="str">
            <v>N/A</v>
          </cell>
          <cell r="AH91">
            <v>5</v>
          </cell>
          <cell r="AI91">
            <v>35</v>
          </cell>
          <cell r="AJ91">
            <v>70</v>
          </cell>
          <cell r="AK91" t="str">
            <v>Yes</v>
          </cell>
          <cell r="AL91" t="str">
            <v>Embedded</v>
          </cell>
          <cell r="AM91" t="str">
            <v>$0, subject to deductible</v>
          </cell>
          <cell r="BD91">
            <v>622.52</v>
          </cell>
          <cell r="BE91">
            <v>1245.04</v>
          </cell>
          <cell r="BF91">
            <v>1058.28</v>
          </cell>
          <cell r="BG91">
            <v>1774.18</v>
          </cell>
        </row>
        <row r="92">
          <cell r="C92" t="str">
            <v>Excellus SB Plus Gold 14</v>
          </cell>
          <cell r="H92" t="str">
            <v>Hybrid</v>
          </cell>
          <cell r="I92">
            <v>1000</v>
          </cell>
          <cell r="J92">
            <v>2000</v>
          </cell>
          <cell r="K92">
            <v>5500</v>
          </cell>
          <cell r="L92">
            <v>11000</v>
          </cell>
          <cell r="M92">
            <v>0.2</v>
          </cell>
          <cell r="N92" t="str">
            <v>$25 Copay, subject to deductible</v>
          </cell>
          <cell r="O92" t="str">
            <v>$40 Copay, subject to deductible</v>
          </cell>
          <cell r="P92" t="str">
            <v>$40 Copay, subject to deductible</v>
          </cell>
          <cell r="Q92" t="str">
            <v>Lab: $25/ X-Ray: $40, subject to deductible</v>
          </cell>
          <cell r="R92" t="str">
            <v>$250 Copay, subject to deductible</v>
          </cell>
          <cell r="S92" t="str">
            <v>$250 Copay, subject to deductible</v>
          </cell>
          <cell r="T92" t="str">
            <v>Covered at 80%, subject to deductible</v>
          </cell>
          <cell r="U92" t="str">
            <v>Covered at 80%, subject to deductible</v>
          </cell>
          <cell r="V92" t="str">
            <v>Covered at 80%, subject to deductible</v>
          </cell>
          <cell r="W92" t="str">
            <v>$100 Copay, subject to deductible</v>
          </cell>
          <cell r="X92" t="str">
            <v>Covered at 80%, subject to deductible</v>
          </cell>
          <cell r="Y92" t="str">
            <v>$25 Copay, subject to deductible</v>
          </cell>
          <cell r="Z92" t="str">
            <v>$40 Copay, subject to deductible</v>
          </cell>
          <cell r="AA92" t="str">
            <v>$25 Copay, subject to deductible</v>
          </cell>
          <cell r="AB92" t="str">
            <v>$40 Copay, subject to deductible</v>
          </cell>
          <cell r="AC92" t="str">
            <v>$40 Copay, subject to deductible, for up to 60 visits per contract year</v>
          </cell>
          <cell r="AD92" t="str">
            <v>Adult/ Pediatric: $40 Copay, subject to deductible, for one routine exam per year</v>
          </cell>
          <cell r="AE92" t="str">
            <v>Adult: $60 allowance per year; Pediatric: Covered at 50%, subject to deductible, for one purchase per year</v>
          </cell>
          <cell r="AF92" t="str">
            <v>Covered at 50%, subject to deductible</v>
          </cell>
          <cell r="AG92" t="str">
            <v>N/A</v>
          </cell>
          <cell r="AH92">
            <v>5</v>
          </cell>
          <cell r="AI92">
            <v>35</v>
          </cell>
          <cell r="AJ92">
            <v>70</v>
          </cell>
          <cell r="AK92" t="str">
            <v>Yes</v>
          </cell>
          <cell r="AL92" t="str">
            <v>Embedded</v>
          </cell>
          <cell r="AM92" t="str">
            <v>$0, subject to deductible</v>
          </cell>
          <cell r="BD92">
            <v>618.57000000000005</v>
          </cell>
          <cell r="BE92">
            <v>1237.1300000000001</v>
          </cell>
          <cell r="BF92">
            <v>1051.57</v>
          </cell>
          <cell r="BG92">
            <v>1762.92</v>
          </cell>
        </row>
        <row r="93">
          <cell r="C93" t="str">
            <v>Excellus SB Plus Gold 17</v>
          </cell>
          <cell r="H93" t="str">
            <v>Hybrid</v>
          </cell>
          <cell r="I93">
            <v>1000</v>
          </cell>
          <cell r="J93">
            <v>2000</v>
          </cell>
          <cell r="K93">
            <v>8150</v>
          </cell>
          <cell r="L93">
            <v>16300</v>
          </cell>
          <cell r="M93">
            <v>0.2</v>
          </cell>
          <cell r="N93">
            <v>30</v>
          </cell>
          <cell r="O93">
            <v>50</v>
          </cell>
          <cell r="P93">
            <v>50</v>
          </cell>
          <cell r="Q93" t="str">
            <v>Lab: $25/ X-Ray: $50, subject to deductible</v>
          </cell>
          <cell r="R93">
            <v>250</v>
          </cell>
          <cell r="S93">
            <v>250</v>
          </cell>
          <cell r="T93" t="str">
            <v>Covered at 80%, subject to deductible</v>
          </cell>
          <cell r="U93" t="str">
            <v>Covered at 80%, subject to deductible</v>
          </cell>
          <cell r="V93" t="str">
            <v>Covered at 80%, subject to deductible</v>
          </cell>
          <cell r="W93">
            <v>100</v>
          </cell>
          <cell r="X93" t="str">
            <v>Covered at 80%, subject to deductible</v>
          </cell>
          <cell r="Y93">
            <v>30</v>
          </cell>
          <cell r="Z93">
            <v>50</v>
          </cell>
          <cell r="AA93">
            <v>30</v>
          </cell>
          <cell r="AB93">
            <v>50</v>
          </cell>
          <cell r="AC93" t="str">
            <v>$50 Copay for up to 60 visits, per contract year</v>
          </cell>
          <cell r="AD93" t="str">
            <v>Adult/ Pediatric: $50 Copay for one routine exam per year</v>
          </cell>
          <cell r="AE93" t="str">
            <v>Adult: $60 allowance per year; Pediatric: Covered at 50%, subject to deductible, for one purchase per year</v>
          </cell>
          <cell r="AF93" t="str">
            <v>Covered at 50%, subject to deductible</v>
          </cell>
          <cell r="AG93" t="str">
            <v>N/A</v>
          </cell>
          <cell r="AH93">
            <v>10</v>
          </cell>
          <cell r="AI93">
            <v>45</v>
          </cell>
          <cell r="AJ93">
            <v>90</v>
          </cell>
          <cell r="AK93" t="str">
            <v>Yes</v>
          </cell>
          <cell r="AL93" t="str">
            <v>Embedded</v>
          </cell>
          <cell r="AM93" t="str">
            <v>Covered in Full</v>
          </cell>
          <cell r="BD93">
            <v>615.96</v>
          </cell>
          <cell r="BE93">
            <v>1231.92</v>
          </cell>
          <cell r="BF93">
            <v>1047.1300000000001</v>
          </cell>
          <cell r="BG93">
            <v>1755.48</v>
          </cell>
        </row>
        <row r="94">
          <cell r="C94" t="str">
            <v>Excellus SB Plus Gold 18</v>
          </cell>
          <cell r="H94" t="str">
            <v>Hybrid</v>
          </cell>
          <cell r="I94">
            <v>1100</v>
          </cell>
          <cell r="J94">
            <v>2200</v>
          </cell>
          <cell r="K94">
            <v>8250</v>
          </cell>
          <cell r="L94">
            <v>16500</v>
          </cell>
          <cell r="M94">
            <v>0.2</v>
          </cell>
          <cell r="N94">
            <v>40</v>
          </cell>
          <cell r="O94">
            <v>60</v>
          </cell>
          <cell r="P94">
            <v>60</v>
          </cell>
          <cell r="Q94" t="str">
            <v>Lab: $40/ X-Ray: $60</v>
          </cell>
          <cell r="R94">
            <v>250</v>
          </cell>
          <cell r="S94">
            <v>250</v>
          </cell>
          <cell r="T94" t="str">
            <v>Covered at 80%, subject to deductible</v>
          </cell>
          <cell r="U94" t="str">
            <v>Covered at 80%, subject to deductible</v>
          </cell>
          <cell r="V94" t="str">
            <v>Covered at 80%, subject to deductible</v>
          </cell>
          <cell r="W94">
            <v>100</v>
          </cell>
          <cell r="X94" t="str">
            <v>Covered at 80%, subject to deductible</v>
          </cell>
          <cell r="Y94">
            <v>40</v>
          </cell>
          <cell r="Z94">
            <v>60</v>
          </cell>
          <cell r="AA94">
            <v>40</v>
          </cell>
          <cell r="AB94">
            <v>60</v>
          </cell>
          <cell r="AC94" t="str">
            <v>$60 Copay for up to 60 visits, per contract year</v>
          </cell>
          <cell r="AD94" t="str">
            <v>Adult/ Pediatric: $60 Copay for one routine exam per year</v>
          </cell>
          <cell r="AE94" t="str">
            <v>Adult: $60 allowance per year; Pediatric: Covered at 50%, subject to deductible, for one purchase per year</v>
          </cell>
          <cell r="AF94" t="str">
            <v>Covered at 50%, subject to deductible</v>
          </cell>
          <cell r="AG94" t="str">
            <v>N/A</v>
          </cell>
          <cell r="AH94">
            <v>10</v>
          </cell>
          <cell r="AI94">
            <v>45</v>
          </cell>
          <cell r="AJ94">
            <v>90</v>
          </cell>
          <cell r="AK94" t="str">
            <v>Yes</v>
          </cell>
          <cell r="AL94" t="str">
            <v>Embedded</v>
          </cell>
          <cell r="AM94" t="str">
            <v>Covered in Full</v>
          </cell>
          <cell r="BD94">
            <v>599.84</v>
          </cell>
          <cell r="BE94">
            <v>1199.68</v>
          </cell>
          <cell r="BF94">
            <v>1019.73</v>
          </cell>
          <cell r="BG94">
            <v>1709.55</v>
          </cell>
        </row>
        <row r="95">
          <cell r="C95" t="str">
            <v>Excellus SB Plus Gold 19</v>
          </cell>
          <cell r="H95" t="str">
            <v>Hybrid</v>
          </cell>
          <cell r="I95">
            <v>2250</v>
          </cell>
          <cell r="J95">
            <v>4500</v>
          </cell>
          <cell r="K95">
            <v>6850</v>
          </cell>
          <cell r="L95">
            <v>13700</v>
          </cell>
          <cell r="M95">
            <v>0.2</v>
          </cell>
          <cell r="N95">
            <v>40</v>
          </cell>
          <cell r="O95">
            <v>60</v>
          </cell>
          <cell r="P95">
            <v>60</v>
          </cell>
          <cell r="Q95" t="str">
            <v>Lab: $40/ X-Ray: $60</v>
          </cell>
          <cell r="R95">
            <v>350</v>
          </cell>
          <cell r="S95">
            <v>350</v>
          </cell>
          <cell r="T95" t="str">
            <v>Covered at 80%, subject to deductible</v>
          </cell>
          <cell r="U95" t="str">
            <v>Covered at 80%, subject to deductible</v>
          </cell>
          <cell r="V95" t="str">
            <v>Covered at 80%, subject to deductible</v>
          </cell>
          <cell r="W95">
            <v>100</v>
          </cell>
          <cell r="X95" t="str">
            <v>Covered at 80%, subject to deductible</v>
          </cell>
          <cell r="Y95">
            <v>40</v>
          </cell>
          <cell r="Z95">
            <v>60</v>
          </cell>
          <cell r="AA95">
            <v>40</v>
          </cell>
          <cell r="AB95">
            <v>60</v>
          </cell>
          <cell r="AC95" t="str">
            <v>$60 Copay for up to 60 visits per contract year</v>
          </cell>
          <cell r="AD95" t="str">
            <v>Adult/ Pediatric: $60 Copay for one routine exam per year</v>
          </cell>
          <cell r="AE95" t="str">
            <v>Adult: $60 allowance per year; Pediatric: Covered at 50%, subject to deductible, for one purchase per year</v>
          </cell>
          <cell r="AF95" t="str">
            <v>Covered at 50%, subject to deductible</v>
          </cell>
          <cell r="AG95" t="str">
            <v>N/A</v>
          </cell>
          <cell r="AH95">
            <v>5</v>
          </cell>
          <cell r="AI95">
            <v>45</v>
          </cell>
          <cell r="AJ95">
            <v>90</v>
          </cell>
          <cell r="AK95" t="str">
            <v>Yes</v>
          </cell>
          <cell r="AL95" t="str">
            <v>Embedded</v>
          </cell>
          <cell r="AM95" t="str">
            <v>Covered in Full</v>
          </cell>
          <cell r="BD95">
            <v>574.03</v>
          </cell>
          <cell r="BE95">
            <v>1148.06</v>
          </cell>
          <cell r="BF95">
            <v>975.86</v>
          </cell>
          <cell r="BG95">
            <v>1635.98</v>
          </cell>
        </row>
        <row r="96">
          <cell r="C96" t="str">
            <v>Excellus SB Plus Gold 20</v>
          </cell>
          <cell r="H96" t="str">
            <v>Deductible</v>
          </cell>
          <cell r="I96">
            <v>1800</v>
          </cell>
          <cell r="J96">
            <v>3600</v>
          </cell>
          <cell r="K96">
            <v>3600</v>
          </cell>
          <cell r="L96">
            <v>7200</v>
          </cell>
          <cell r="M96">
            <v>0.2</v>
          </cell>
          <cell r="N96" t="str">
            <v>Covered at 80%, subject to deductible</v>
          </cell>
          <cell r="O96" t="str">
            <v>Covered at 80%, subject to deductible</v>
          </cell>
          <cell r="P96" t="str">
            <v>Covered at 80%, subject to deductible</v>
          </cell>
          <cell r="Q96" t="str">
            <v>Covered at 80%, subject to deductible</v>
          </cell>
          <cell r="R96" t="str">
            <v>Covered at 80%, subject to deductible</v>
          </cell>
          <cell r="S96" t="str">
            <v>Covered at 80%, subject to deductible</v>
          </cell>
          <cell r="T96" t="str">
            <v>Covered at 80%, subject to deductible</v>
          </cell>
          <cell r="U96" t="str">
            <v>Covered at 80%, subject to deductible</v>
          </cell>
          <cell r="V96" t="str">
            <v>Covered at 80%, subject to deductible</v>
          </cell>
          <cell r="W96" t="str">
            <v>Covered at 80%, subject to deductible</v>
          </cell>
          <cell r="X96" t="str">
            <v>Covered at 80%, subject to deductible</v>
          </cell>
          <cell r="Y96" t="str">
            <v>Covered at 80%, subject to deductible</v>
          </cell>
          <cell r="Z96" t="str">
            <v>Covered at 80%, subject to deductible</v>
          </cell>
          <cell r="AA96" t="str">
            <v>Covered at 80%, subject to deductible</v>
          </cell>
          <cell r="AB96" t="str">
            <v>Covered at 80%, subject to deductible</v>
          </cell>
          <cell r="AC96" t="str">
            <v>Covered at 80%, subject to deductible, for up to 60 visits per contract year</v>
          </cell>
          <cell r="AD96" t="str">
            <v>Adult/ Pediatric: Covered at 80%, subject to deductible, for one routine exam per year</v>
          </cell>
          <cell r="AE96" t="str">
            <v>Adult: $60 allowance per year/ Pediatric: Covered at 50%, subject to deductible, for one purchase per year</v>
          </cell>
          <cell r="AF96" t="str">
            <v>Covered at 50%, subject to deductible</v>
          </cell>
          <cell r="AG96" t="str">
            <v>Subject to plan deductible (except preventive drugs)</v>
          </cell>
          <cell r="AH96">
            <v>5</v>
          </cell>
          <cell r="AI96">
            <v>45</v>
          </cell>
          <cell r="AJ96">
            <v>90</v>
          </cell>
          <cell r="AK96" t="str">
            <v>Yes</v>
          </cell>
          <cell r="AL96" t="str">
            <v>Aggregate</v>
          </cell>
          <cell r="AM96" t="str">
            <v>$0, subject to deductible</v>
          </cell>
          <cell r="BD96">
            <v>592.30999999999995</v>
          </cell>
          <cell r="BE96">
            <v>1184.6300000000001</v>
          </cell>
          <cell r="BF96">
            <v>1006.93</v>
          </cell>
          <cell r="BG96">
            <v>1688.09</v>
          </cell>
        </row>
        <row r="97">
          <cell r="C97" t="str">
            <v>Excellus SB Plus Platinum 4</v>
          </cell>
          <cell r="H97" t="str">
            <v>Hybrid</v>
          </cell>
          <cell r="I97">
            <v>250</v>
          </cell>
          <cell r="J97">
            <v>500</v>
          </cell>
          <cell r="K97">
            <v>2000</v>
          </cell>
          <cell r="L97">
            <v>4000</v>
          </cell>
          <cell r="M97">
            <v>0.2</v>
          </cell>
          <cell r="N97">
            <v>15</v>
          </cell>
          <cell r="O97">
            <v>25</v>
          </cell>
          <cell r="P97">
            <v>25</v>
          </cell>
          <cell r="Q97" t="str">
            <v>Lab: $15/ X-Ray: $25</v>
          </cell>
          <cell r="R97">
            <v>150</v>
          </cell>
          <cell r="S97">
            <v>150</v>
          </cell>
          <cell r="T97" t="str">
            <v>Covered at 80%, subject to deductible</v>
          </cell>
          <cell r="U97" t="str">
            <v>Covered at 80%, subject to deductible</v>
          </cell>
          <cell r="V97" t="str">
            <v>Covered at 80%, subject to deductible</v>
          </cell>
          <cell r="W97">
            <v>100</v>
          </cell>
          <cell r="X97" t="str">
            <v>Covered at 80%, subject to deductible</v>
          </cell>
          <cell r="Y97">
            <v>15</v>
          </cell>
          <cell r="Z97">
            <v>25</v>
          </cell>
          <cell r="AA97">
            <v>15</v>
          </cell>
          <cell r="AB97">
            <v>25</v>
          </cell>
          <cell r="AC97" t="str">
            <v>$25 Copay for up to 60 visits, per contract year</v>
          </cell>
          <cell r="AD97" t="str">
            <v>Adult/ Pediatric: $25 Copay for one routine exam per year</v>
          </cell>
          <cell r="AE97" t="str">
            <v>Adult: $60 allowance per year; Pediatric: Covered at 50%, subject to deductible, for one purchase per year</v>
          </cell>
          <cell r="AF97" t="str">
            <v>Covered at 50%, subject to deductible</v>
          </cell>
          <cell r="AG97" t="str">
            <v>N/A</v>
          </cell>
          <cell r="AH97">
            <v>5</v>
          </cell>
          <cell r="AI97">
            <v>25</v>
          </cell>
          <cell r="AJ97">
            <v>50</v>
          </cell>
          <cell r="AK97" t="str">
            <v>Yes</v>
          </cell>
          <cell r="AL97" t="str">
            <v>Embedded</v>
          </cell>
          <cell r="AM97" t="str">
            <v>Covered in Full</v>
          </cell>
          <cell r="BD97">
            <v>745.1</v>
          </cell>
          <cell r="BE97">
            <v>1490.21</v>
          </cell>
          <cell r="BF97">
            <v>1266.67</v>
          </cell>
          <cell r="BG97">
            <v>2123.5500000000002</v>
          </cell>
        </row>
        <row r="98">
          <cell r="C98" t="str">
            <v>Excellus SB Plus Silver 16</v>
          </cell>
          <cell r="H98" t="str">
            <v>Deductible</v>
          </cell>
          <cell r="I98">
            <v>3200</v>
          </cell>
          <cell r="J98">
            <v>6400</v>
          </cell>
          <cell r="K98">
            <v>6550</v>
          </cell>
          <cell r="L98">
            <v>13100</v>
          </cell>
          <cell r="M98">
            <v>0.2</v>
          </cell>
          <cell r="N98" t="str">
            <v>Covered at 80%, subject to deductible</v>
          </cell>
          <cell r="O98" t="str">
            <v>Covered at 80%, subject to deductible</v>
          </cell>
          <cell r="P98" t="str">
            <v>Covered at 80%, subject to deductible</v>
          </cell>
          <cell r="Q98" t="str">
            <v>Covered at 80%, subject to deductible</v>
          </cell>
          <cell r="R98" t="str">
            <v>Covered at 80%, subject to deductible</v>
          </cell>
          <cell r="S98" t="str">
            <v>Covered at 80%, subject to deductible</v>
          </cell>
          <cell r="T98" t="str">
            <v>Covered at 80%, subject to deductible</v>
          </cell>
          <cell r="U98" t="str">
            <v>Covered at 80%, subject to deductible</v>
          </cell>
          <cell r="V98" t="str">
            <v>Covered at 80%, subject to deductible</v>
          </cell>
          <cell r="W98" t="str">
            <v>Covered at 80%, subject to deductible</v>
          </cell>
          <cell r="X98" t="str">
            <v>Covered at 80%, subject to deductible</v>
          </cell>
          <cell r="Y98" t="str">
            <v>Covered at 80%, subject to deductible</v>
          </cell>
          <cell r="Z98" t="str">
            <v>Covered at 80%, subject to deductible</v>
          </cell>
          <cell r="AA98" t="str">
            <v>Covered at 80%, subject to deductible</v>
          </cell>
          <cell r="AB98" t="str">
            <v>Covered at 80%, subject to deductible</v>
          </cell>
          <cell r="AC98" t="str">
            <v>Covered at 80%, subject to deductible, for up to 60 visits per contract year</v>
          </cell>
          <cell r="AD98" t="str">
            <v>Adult/ Pediatric: Covered at 80%, subject to deductible, for one routine exam per year</v>
          </cell>
          <cell r="AE98" t="str">
            <v>Adult: $60 allowance per year/ Pediatric: Covered at 50%, subject to deductible, for one purchase per year</v>
          </cell>
          <cell r="AF98" t="str">
            <v>Covered at 50%, subject to deductible</v>
          </cell>
          <cell r="AG98" t="str">
            <v>Subject to plan deductible (except preventive drugs)</v>
          </cell>
          <cell r="AH98">
            <v>5</v>
          </cell>
          <cell r="AI98">
            <v>45</v>
          </cell>
          <cell r="AJ98">
            <v>90</v>
          </cell>
          <cell r="AK98" t="str">
            <v>Yes</v>
          </cell>
          <cell r="AL98" t="str">
            <v>Aggregate</v>
          </cell>
          <cell r="AM98" t="str">
            <v>$0, subject to deductible</v>
          </cell>
          <cell r="BD98">
            <v>490.01</v>
          </cell>
          <cell r="BE98">
            <v>980.02</v>
          </cell>
          <cell r="BF98">
            <v>833.02</v>
          </cell>
          <cell r="BG98">
            <v>1396.54</v>
          </cell>
        </row>
        <row r="99">
          <cell r="C99" t="str">
            <v>Excellus SB Plus Silver 17</v>
          </cell>
          <cell r="H99" t="str">
            <v>Deductible</v>
          </cell>
          <cell r="I99">
            <v>3600</v>
          </cell>
          <cell r="J99">
            <v>7200</v>
          </cell>
          <cell r="K99">
            <v>6550</v>
          </cell>
          <cell r="L99">
            <v>13100</v>
          </cell>
          <cell r="M99">
            <v>0.2</v>
          </cell>
          <cell r="N99" t="str">
            <v>Covered at 80%, subject to deductible</v>
          </cell>
          <cell r="O99" t="str">
            <v>Covered at 80%, subject to deductible</v>
          </cell>
          <cell r="P99" t="str">
            <v>Covered at 80%, subject to deductible</v>
          </cell>
          <cell r="Q99" t="str">
            <v>Covered at 80%, subject to deductible</v>
          </cell>
          <cell r="R99" t="str">
            <v>Covered at 80%, subject to deductible</v>
          </cell>
          <cell r="S99" t="str">
            <v>Covered at 80%, subject to deductible</v>
          </cell>
          <cell r="T99" t="str">
            <v>Covered at 80%, subject to deductible</v>
          </cell>
          <cell r="U99" t="str">
            <v>Covered at 80%, subject to deductible</v>
          </cell>
          <cell r="V99" t="str">
            <v>Covered at 80%, subject to deductible</v>
          </cell>
          <cell r="W99" t="str">
            <v>Covered at 80%, subject to deductible</v>
          </cell>
          <cell r="X99" t="str">
            <v>Covered at 80%, subject to deductible</v>
          </cell>
          <cell r="Y99" t="str">
            <v>Covered at 80%, subject to deductible</v>
          </cell>
          <cell r="Z99" t="str">
            <v>Covered at 80%, subject to deductible</v>
          </cell>
          <cell r="AA99" t="str">
            <v>Covered at 80%, subject to deductible</v>
          </cell>
          <cell r="AB99" t="str">
            <v>Covered at 80%, subject to deductible</v>
          </cell>
          <cell r="AC99" t="str">
            <v>Covered at 80%, subject to deductible, for up to 60 visits per contract year</v>
          </cell>
          <cell r="AD99" t="str">
            <v>Adult/ Pediatric: Covered at 80%, subject to deductible, for one routine exam per year</v>
          </cell>
          <cell r="AE99" t="str">
            <v>Adult: $60 allowance per year/ Pediatric: Covered at 50%, subject to deductible, for one purchase per year</v>
          </cell>
          <cell r="AF99" t="str">
            <v>Covered at 50%, subject to deductible</v>
          </cell>
          <cell r="AG99" t="str">
            <v>Subject to plan deductible (except preventive drugs)</v>
          </cell>
          <cell r="AH99">
            <v>5</v>
          </cell>
          <cell r="AI99">
            <v>35</v>
          </cell>
          <cell r="AJ99">
            <v>70</v>
          </cell>
          <cell r="AK99" t="str">
            <v>Yes</v>
          </cell>
          <cell r="AL99" t="str">
            <v>Aggregate</v>
          </cell>
          <cell r="AM99" t="str">
            <v>$0, subject to deductible</v>
          </cell>
          <cell r="BD99">
            <v>476.35</v>
          </cell>
          <cell r="BE99">
            <v>952.69</v>
          </cell>
          <cell r="BF99">
            <v>809.79</v>
          </cell>
          <cell r="BG99">
            <v>1357.59</v>
          </cell>
        </row>
        <row r="100">
          <cell r="C100" t="str">
            <v>Excellus SB Plus Silver 18</v>
          </cell>
          <cell r="H100" t="str">
            <v>Hybrid</v>
          </cell>
          <cell r="I100">
            <v>7500</v>
          </cell>
          <cell r="J100">
            <v>15000</v>
          </cell>
          <cell r="K100">
            <v>8250</v>
          </cell>
          <cell r="L100">
            <v>16500</v>
          </cell>
          <cell r="M100">
            <v>0.3</v>
          </cell>
          <cell r="N100">
            <v>50</v>
          </cell>
          <cell r="O100">
            <v>75</v>
          </cell>
          <cell r="P100">
            <v>75</v>
          </cell>
          <cell r="Q100" t="str">
            <v>Lab: $50/ X-Ray: $75</v>
          </cell>
          <cell r="R100">
            <v>650</v>
          </cell>
          <cell r="S100">
            <v>650</v>
          </cell>
          <cell r="T100" t="str">
            <v>Covered at 70%, subject to deductible</v>
          </cell>
          <cell r="U100" t="str">
            <v>Covered at 70%, subject to deductible</v>
          </cell>
          <cell r="V100" t="str">
            <v>Covered at 70%, subject to deductible</v>
          </cell>
          <cell r="W100">
            <v>100</v>
          </cell>
          <cell r="X100" t="str">
            <v>Covered at 70%, subject to deductible</v>
          </cell>
          <cell r="Y100">
            <v>50</v>
          </cell>
          <cell r="Z100">
            <v>75</v>
          </cell>
          <cell r="AA100">
            <v>50</v>
          </cell>
          <cell r="AB100">
            <v>75</v>
          </cell>
          <cell r="AC100" t="str">
            <v>$75 Copay for up to 60 visits per contract year</v>
          </cell>
          <cell r="AD100" t="str">
            <v>Adult/ Pediatric: $75 Copay for one routine exam per year</v>
          </cell>
          <cell r="AE100" t="str">
            <v>Adult: $60 allowance per year/ Pediatric: Covered at 50%, subject to deductible, for one purchase per year</v>
          </cell>
          <cell r="AF100" t="str">
            <v>Covered at 50%, subject to deductible</v>
          </cell>
          <cell r="AG100" t="str">
            <v>N/A</v>
          </cell>
          <cell r="AH100">
            <v>10</v>
          </cell>
          <cell r="AI100">
            <v>0.4</v>
          </cell>
          <cell r="AJ100">
            <v>0.5</v>
          </cell>
          <cell r="AK100" t="str">
            <v>Yes</v>
          </cell>
          <cell r="AL100" t="str">
            <v>Embedded</v>
          </cell>
          <cell r="AM100" t="str">
            <v>Covered in Full</v>
          </cell>
          <cell r="BD100">
            <v>423.1</v>
          </cell>
          <cell r="BE100">
            <v>846.21</v>
          </cell>
          <cell r="BF100">
            <v>719.28</v>
          </cell>
          <cell r="BG100">
            <v>1205.8499999999999</v>
          </cell>
        </row>
        <row r="101">
          <cell r="C101" t="str">
            <v>Excellus SB Plus Silver 19</v>
          </cell>
          <cell r="H101" t="str">
            <v>HDHP</v>
          </cell>
          <cell r="I101">
            <v>2500</v>
          </cell>
          <cell r="J101">
            <v>5000</v>
          </cell>
          <cell r="K101">
            <v>6750</v>
          </cell>
          <cell r="L101">
            <v>13500</v>
          </cell>
          <cell r="M101">
            <v>0</v>
          </cell>
          <cell r="N101" t="str">
            <v>$25 Copay, subject to deductible</v>
          </cell>
          <cell r="O101" t="str">
            <v>$50 Copay, subject to deductible</v>
          </cell>
          <cell r="P101" t="str">
            <v>$50 Copay, subject to deductible</v>
          </cell>
          <cell r="Q101" t="str">
            <v>Lab: $25/ X-Ray: $50, subject to deductible</v>
          </cell>
          <cell r="R101" t="str">
            <v>$300 Copay, subject to deductible</v>
          </cell>
          <cell r="S101" t="str">
            <v>$300 Copay, subject to deductible</v>
          </cell>
          <cell r="T101" t="str">
            <v>$500 Copay, subject to deductible</v>
          </cell>
          <cell r="U101" t="str">
            <v>$300 Copay, subject to deductible</v>
          </cell>
          <cell r="V101" t="str">
            <v>$500 Copay, subject to deductible</v>
          </cell>
          <cell r="W101" t="str">
            <v>$100 Copay, subject to deductible</v>
          </cell>
          <cell r="X101" t="str">
            <v>$500 Copay, subject to deductible</v>
          </cell>
          <cell r="Y101" t="str">
            <v>$25 Copay, subject to deductible</v>
          </cell>
          <cell r="Z101" t="str">
            <v>$50 Copay, subject to deductible</v>
          </cell>
          <cell r="AA101" t="str">
            <v>$25 Copay, subject to deductible</v>
          </cell>
          <cell r="AB101" t="str">
            <v>$50 Copay, subject to deductible</v>
          </cell>
          <cell r="AC101" t="str">
            <v>$50 Copay, subject to deductible, for up to 60 visits per contract year</v>
          </cell>
          <cell r="AD101" t="str">
            <v>Adult/ Pediatric: $50 Copay, subject to deductible, for one routine exam per year</v>
          </cell>
          <cell r="AE101" t="str">
            <v>Adult: $60 allowance per year/ Pediatric: Covered at 50%, subject to deductible, for one purchase per year</v>
          </cell>
          <cell r="AF101" t="str">
            <v>Covered at 50%, subject to deductible</v>
          </cell>
          <cell r="AG101" t="str">
            <v>Subject to plan deductible (except preventive drugs)</v>
          </cell>
          <cell r="AH101">
            <v>5</v>
          </cell>
          <cell r="AI101">
            <v>45</v>
          </cell>
          <cell r="AJ101">
            <v>90</v>
          </cell>
          <cell r="AK101" t="str">
            <v>Yes</v>
          </cell>
          <cell r="AL101" t="str">
            <v>Aggregate</v>
          </cell>
          <cell r="AM101" t="str">
            <v>$0, subject to deductible</v>
          </cell>
          <cell r="BD101">
            <v>514.05999999999995</v>
          </cell>
          <cell r="BE101">
            <v>1028.1199999999999</v>
          </cell>
          <cell r="BF101">
            <v>873.9</v>
          </cell>
          <cell r="BG101">
            <v>1465.08</v>
          </cell>
        </row>
        <row r="102">
          <cell r="C102" t="str">
            <v>Excellus SB Plus Silver 6</v>
          </cell>
          <cell r="H102" t="str">
            <v>Hybrid</v>
          </cell>
          <cell r="I102">
            <v>2500</v>
          </cell>
          <cell r="J102">
            <v>5000</v>
          </cell>
          <cell r="K102">
            <v>8000</v>
          </cell>
          <cell r="L102">
            <v>16000</v>
          </cell>
          <cell r="M102">
            <v>0.25</v>
          </cell>
          <cell r="N102" t="str">
            <v>$40 Copay, subject to deductible</v>
          </cell>
          <cell r="O102" t="str">
            <v>$60 Copay, subject to deductible</v>
          </cell>
          <cell r="P102" t="str">
            <v>$60 Copay, subject to deductible</v>
          </cell>
          <cell r="Q102" t="str">
            <v>Lab: $40/ X-Ray: $60, subject to deductible</v>
          </cell>
          <cell r="R102" t="str">
            <v>$350 Copay, subject to deductible</v>
          </cell>
          <cell r="S102" t="str">
            <v>$350 Copay, subject to deductible</v>
          </cell>
          <cell r="T102" t="str">
            <v>Covered at 75%, subject to deductible</v>
          </cell>
          <cell r="U102" t="str">
            <v>Covered at 75%, subject to deductible</v>
          </cell>
          <cell r="V102" t="str">
            <v>Covered at 75%, subject to deductible</v>
          </cell>
          <cell r="W102" t="str">
            <v>$100 Copay, subject to deductible</v>
          </cell>
          <cell r="X102" t="str">
            <v>Covered at 75%, subject to deductible</v>
          </cell>
          <cell r="Y102" t="str">
            <v>$40 Copay, subject to deductible</v>
          </cell>
          <cell r="Z102" t="str">
            <v>$60 Copay, subject to deductible</v>
          </cell>
          <cell r="AA102" t="str">
            <v>$40 Copay, subject to deductible</v>
          </cell>
          <cell r="AB102" t="str">
            <v>$60 Copay, subject to deductible</v>
          </cell>
          <cell r="AC102" t="str">
            <v>$60 Copay, subject to deductible, for up to 60 visits per contract year</v>
          </cell>
          <cell r="AD102" t="str">
            <v>Adult/ Pediatric: $60 Copay, subject to deductible, for one routine exam per year</v>
          </cell>
          <cell r="AE102" t="str">
            <v>Adult: $60 allowance per year; Pediatric: Covered at 50%, subject to deductible, for one purchase per year</v>
          </cell>
          <cell r="AF102" t="str">
            <v>Covered at 50%, subject to deductible</v>
          </cell>
          <cell r="AG102" t="str">
            <v>N/A</v>
          </cell>
          <cell r="AH102">
            <v>5</v>
          </cell>
          <cell r="AI102">
            <v>45</v>
          </cell>
          <cell r="AJ102">
            <v>90</v>
          </cell>
          <cell r="AK102" t="str">
            <v>Yes</v>
          </cell>
          <cell r="AL102" t="str">
            <v>Embedded</v>
          </cell>
          <cell r="AM102" t="str">
            <v>$0, subject to deductible</v>
          </cell>
          <cell r="BD102">
            <v>508.91</v>
          </cell>
          <cell r="BE102">
            <v>1017.82</v>
          </cell>
          <cell r="BF102">
            <v>865.15</v>
          </cell>
          <cell r="BG102">
            <v>1450.4</v>
          </cell>
        </row>
        <row r="103">
          <cell r="C103" t="str">
            <v>Excellus SB Plus Standard Gold </v>
          </cell>
          <cell r="H103" t="str">
            <v>Hybrid</v>
          </cell>
          <cell r="I103">
            <v>600</v>
          </cell>
          <cell r="J103">
            <v>1200</v>
          </cell>
          <cell r="K103">
            <v>4000</v>
          </cell>
          <cell r="L103">
            <v>8000</v>
          </cell>
          <cell r="M103">
            <v>0</v>
          </cell>
          <cell r="N103" t="str">
            <v>$25 Copay, subject to deductible</v>
          </cell>
          <cell r="O103" t="str">
            <v>$40 Copay, subject to deductible</v>
          </cell>
          <cell r="P103" t="str">
            <v>$60 Copay, subject to deductible</v>
          </cell>
          <cell r="Q103" t="str">
            <v>Lab: $40/ X-Ray: $40, subject to deductible</v>
          </cell>
          <cell r="R103" t="str">
            <v>$150 Copay, subject to deductible</v>
          </cell>
          <cell r="S103" t="str">
            <v>$150 Copay, subject to deductible</v>
          </cell>
          <cell r="T103" t="str">
            <v>$1,000 Copay, subject to deductible</v>
          </cell>
          <cell r="U103" t="str">
            <v>$100 Copay, subject to deductible</v>
          </cell>
          <cell r="V103" t="str">
            <v>$1,000 Copay, subject to deductible</v>
          </cell>
          <cell r="W103" t="str">
            <v>$40 Copay, subject to deductible</v>
          </cell>
          <cell r="X103" t="str">
            <v>$1,000 Copay, subject to deductible</v>
          </cell>
          <cell r="Y103" t="str">
            <v>$25 Copay, subject to deductible</v>
          </cell>
          <cell r="Z103" t="str">
            <v>$25 Copay, subject to deductible</v>
          </cell>
          <cell r="AA103" t="str">
            <v>$25 Copay, subject to deductible</v>
          </cell>
          <cell r="AB103" t="str">
            <v>$40 Copay, subject to deductible</v>
          </cell>
          <cell r="AC103" t="str">
            <v>$30 Copay, subject to deductible, for up to 60 visits per contract year</v>
          </cell>
          <cell r="AD103" t="str">
            <v>Pediatric: $25 copay, subject to deductible, for one routine exam per year</v>
          </cell>
          <cell r="AE103" t="str">
            <v>Pediatric: Covered at 80%, subject to deductible</v>
          </cell>
          <cell r="AF103" t="str">
            <v>Covered at 80%, subject to deductible</v>
          </cell>
          <cell r="AG103" t="str">
            <v>N/A</v>
          </cell>
          <cell r="AH103">
            <v>10</v>
          </cell>
          <cell r="AI103">
            <v>35</v>
          </cell>
          <cell r="AJ103">
            <v>70</v>
          </cell>
          <cell r="AK103" t="str">
            <v>Yes</v>
          </cell>
          <cell r="AL103" t="str">
            <v>Embedded</v>
          </cell>
          <cell r="AM103" t="str">
            <v>$0, subject to deductible</v>
          </cell>
          <cell r="BD103">
            <v>650.29</v>
          </cell>
          <cell r="BE103">
            <v>1300.58</v>
          </cell>
          <cell r="BF103">
            <v>1105.5</v>
          </cell>
          <cell r="BG103">
            <v>1853.32</v>
          </cell>
        </row>
        <row r="104">
          <cell r="C104" t="str">
            <v>Excellus SB Plus Standard Silver </v>
          </cell>
          <cell r="H104" t="str">
            <v>Hybrid</v>
          </cell>
          <cell r="I104">
            <v>1300</v>
          </cell>
          <cell r="J104">
            <v>2600</v>
          </cell>
          <cell r="K104">
            <v>8500</v>
          </cell>
          <cell r="L104">
            <v>17000</v>
          </cell>
          <cell r="M104">
            <v>0</v>
          </cell>
          <cell r="N104" t="str">
            <v>$30 Copay, subject to deductible</v>
          </cell>
          <cell r="O104" t="str">
            <v>$50 Copay, subject to deductible</v>
          </cell>
          <cell r="P104" t="str">
            <v>$70 Copay, subject to deductible</v>
          </cell>
          <cell r="Q104" t="str">
            <v>Lab: $50/ X-Ray: $50, subject to deductible</v>
          </cell>
          <cell r="R104" t="str">
            <v>$300 Copay, subject to deductible</v>
          </cell>
          <cell r="S104" t="str">
            <v>$150 Copay, subject to deductible</v>
          </cell>
          <cell r="T104" t="str">
            <v>$1,500 Copay, subject to deductible</v>
          </cell>
          <cell r="U104" t="str">
            <v>$150 Copay, subject to deductible</v>
          </cell>
          <cell r="V104" t="str">
            <v>$1,500 Copay, subject to deductible</v>
          </cell>
          <cell r="W104" t="str">
            <v>$75 Copay, subject to deductible</v>
          </cell>
          <cell r="X104" t="str">
            <v>$1,500 Copay, subject to deductible</v>
          </cell>
          <cell r="Y104" t="str">
            <v>$30 Copay, subject to deductible</v>
          </cell>
          <cell r="Z104" t="str">
            <v>$30 Copay, subject to deductible</v>
          </cell>
          <cell r="AA104" t="str">
            <v>$30 Copay, subject to deductible</v>
          </cell>
          <cell r="AB104" t="str">
            <v>$50 Copay, subject to deductible</v>
          </cell>
          <cell r="AC104" t="str">
            <v>$30 Copay, subject to deductible, for up to 60 visits per contract year</v>
          </cell>
          <cell r="AD104" t="str">
            <v>Pediatric: $30 copay, subject to deductible, for one routine exam per year</v>
          </cell>
          <cell r="AE104" t="str">
            <v>Pediatric: Covered at 70%, subject to deductible</v>
          </cell>
          <cell r="AF104" t="str">
            <v>Covered at 70%, subject to deductible</v>
          </cell>
          <cell r="AG104" t="str">
            <v>N/A</v>
          </cell>
          <cell r="AH104">
            <v>10</v>
          </cell>
          <cell r="AI104">
            <v>35</v>
          </cell>
          <cell r="AJ104">
            <v>70</v>
          </cell>
          <cell r="AK104" t="str">
            <v>Yes</v>
          </cell>
          <cell r="AL104" t="str">
            <v>Embedded</v>
          </cell>
          <cell r="AM104" t="str">
            <v>$0, subject to deductible</v>
          </cell>
          <cell r="BD104">
            <v>567.91</v>
          </cell>
          <cell r="BE104">
            <v>1135.83</v>
          </cell>
          <cell r="BF104">
            <v>965.45</v>
          </cell>
          <cell r="BG104">
            <v>1618.55</v>
          </cell>
        </row>
        <row r="106">
          <cell r="C106" t="str">
            <v>2021 MVP Plans</v>
          </cell>
        </row>
        <row r="107">
          <cell r="C107" t="str">
            <v>MVP SG Platinum 1</v>
          </cell>
          <cell r="D107">
            <v>462.55</v>
          </cell>
          <cell r="E107">
            <v>925.1</v>
          </cell>
          <cell r="F107">
            <v>786.34</v>
          </cell>
          <cell r="G107">
            <v>1318.27</v>
          </cell>
          <cell r="H107" t="str">
            <v>Copay</v>
          </cell>
          <cell r="I107" t="str">
            <v>N/A</v>
          </cell>
          <cell r="J107" t="str">
            <v>N/A</v>
          </cell>
          <cell r="K107">
            <v>2450</v>
          </cell>
          <cell r="L107">
            <v>4900</v>
          </cell>
          <cell r="M107" t="str">
            <v>As noted below</v>
          </cell>
          <cell r="N107" t="str">
            <v>$0 Copay first 3 visits; $5 Copay thereafter</v>
          </cell>
          <cell r="O107">
            <v>45</v>
          </cell>
          <cell r="P107">
            <v>45</v>
          </cell>
          <cell r="Q107" t="str">
            <v>Lab: $45 Copay/ X-Ray: $45 Copay</v>
          </cell>
          <cell r="R107">
            <v>100</v>
          </cell>
          <cell r="S107">
            <v>100</v>
          </cell>
          <cell r="T107">
            <v>300</v>
          </cell>
          <cell r="U107">
            <v>100</v>
          </cell>
          <cell r="V107" t="str">
            <v>Inpatient: $300 Copay; Physician: $100 Copay</v>
          </cell>
          <cell r="W107">
            <v>100</v>
          </cell>
          <cell r="X107">
            <v>300</v>
          </cell>
          <cell r="Y107" t="str">
            <v>$0 Copay first 3 visits; $5 Mental/$5 Chemical thereafter</v>
          </cell>
          <cell r="Z107">
            <v>45</v>
          </cell>
          <cell r="AA107">
            <v>45</v>
          </cell>
          <cell r="AB107">
            <v>45</v>
          </cell>
          <cell r="AC107" t="str">
            <v>$45 Copay for up to 54 visits per condition/year combined therapies</v>
          </cell>
          <cell r="AD107" t="str">
            <v>Adult: $45 Copay (one exam per every other Plan Year)/ Pediatric: $45 Copay (one exam per 12-month period)</v>
          </cell>
          <cell r="AE107" t="str">
            <v>Pediatric: Covered at 50%, for one purchase per year</v>
          </cell>
          <cell r="AF107" t="str">
            <v>Covered at 50%</v>
          </cell>
          <cell r="AG107" t="str">
            <v>N/A</v>
          </cell>
          <cell r="AH107">
            <v>5</v>
          </cell>
          <cell r="AI107">
            <v>30</v>
          </cell>
          <cell r="AJ107">
            <v>50</v>
          </cell>
          <cell r="AK107" t="str">
            <v>Yes</v>
          </cell>
          <cell r="AL107" t="str">
            <v>Embedded</v>
          </cell>
          <cell r="AM107" t="str">
            <v>Covered in Full</v>
          </cell>
          <cell r="BD107">
            <v>805.82</v>
          </cell>
          <cell r="BE107">
            <v>1611.64</v>
          </cell>
          <cell r="BF107">
            <v>1369.89</v>
          </cell>
          <cell r="BG107">
            <v>2296.59</v>
          </cell>
        </row>
        <row r="108">
          <cell r="C108" t="str">
            <v>MVP SG Platinum 2 HMO</v>
          </cell>
          <cell r="H108" t="str">
            <v>Copay</v>
          </cell>
          <cell r="I108" t="str">
            <v>N/A</v>
          </cell>
          <cell r="J108" t="str">
            <v>N/A</v>
          </cell>
          <cell r="K108">
            <v>2400</v>
          </cell>
          <cell r="L108">
            <v>4800</v>
          </cell>
          <cell r="M108" t="str">
            <v>As noted below</v>
          </cell>
          <cell r="N108">
            <v>10</v>
          </cell>
          <cell r="O108">
            <v>35</v>
          </cell>
          <cell r="P108">
            <v>35</v>
          </cell>
          <cell r="Q108" t="str">
            <v>Lab: $35 Copay/ X-Ray: $35 Copay</v>
          </cell>
          <cell r="R108">
            <v>200</v>
          </cell>
          <cell r="S108">
            <v>200</v>
          </cell>
          <cell r="T108">
            <v>300</v>
          </cell>
          <cell r="U108">
            <v>200</v>
          </cell>
          <cell r="V108" t="str">
            <v>Inpatient: $300 Copay; Physician: $100 Copay</v>
          </cell>
          <cell r="W108">
            <v>140</v>
          </cell>
          <cell r="X108">
            <v>300</v>
          </cell>
          <cell r="Y108" t="str">
            <v>$10 Mental/ $10 Chemical</v>
          </cell>
          <cell r="Z108">
            <v>35</v>
          </cell>
          <cell r="AA108">
            <v>35</v>
          </cell>
          <cell r="AB108">
            <v>35</v>
          </cell>
          <cell r="AC108" t="str">
            <v>$35 Copay for up to 54 visits per condition/year combined therapies</v>
          </cell>
          <cell r="AD108" t="str">
            <v>Adult: $35 Copay (one exam per every other Plan Year)/ Pediatric: $35 Copay (one exam per 12-month period)</v>
          </cell>
          <cell r="AE108" t="str">
            <v>Pediatric: Covered at 50%, for one purchase per year</v>
          </cell>
          <cell r="AF108" t="str">
            <v>Covered at 50%</v>
          </cell>
          <cell r="AG108" t="str">
            <v>N/A</v>
          </cell>
          <cell r="AH108">
            <v>5</v>
          </cell>
          <cell r="AI108">
            <v>30</v>
          </cell>
          <cell r="AJ108">
            <v>50</v>
          </cell>
          <cell r="AK108" t="str">
            <v>Yes</v>
          </cell>
          <cell r="AL108" t="str">
            <v>Embedded</v>
          </cell>
          <cell r="AM108" t="str">
            <v>Covered in Full</v>
          </cell>
          <cell r="BD108">
            <v>747.83</v>
          </cell>
          <cell r="BE108">
            <v>1495.66</v>
          </cell>
          <cell r="BF108">
            <v>1271.31</v>
          </cell>
          <cell r="BG108">
            <v>2131.3200000000002</v>
          </cell>
        </row>
        <row r="109">
          <cell r="C109" t="str">
            <v>MVP SG Platinum 6 HMO</v>
          </cell>
          <cell r="H109" t="str">
            <v>Copay</v>
          </cell>
          <cell r="I109" t="str">
            <v>N/A</v>
          </cell>
          <cell r="J109" t="str">
            <v>N/A</v>
          </cell>
          <cell r="K109">
            <v>2000</v>
          </cell>
          <cell r="L109">
            <v>4000</v>
          </cell>
          <cell r="M109" t="str">
            <v>As noted below</v>
          </cell>
          <cell r="N109">
            <v>15</v>
          </cell>
          <cell r="O109">
            <v>35</v>
          </cell>
          <cell r="P109">
            <v>35</v>
          </cell>
          <cell r="Q109" t="str">
            <v>Lab: $35 Copay/ X-Ray: $35 Copay</v>
          </cell>
          <cell r="R109">
            <v>100</v>
          </cell>
          <cell r="S109">
            <v>100</v>
          </cell>
          <cell r="T109">
            <v>500</v>
          </cell>
          <cell r="U109">
            <v>100</v>
          </cell>
          <cell r="V109" t="str">
            <v>Inpatient: $500 Copay; Physician: $100 Copay</v>
          </cell>
          <cell r="W109">
            <v>35</v>
          </cell>
          <cell r="X109">
            <v>500</v>
          </cell>
          <cell r="Y109" t="str">
            <v>$15 Mental/$15 Chemical</v>
          </cell>
          <cell r="Z109">
            <v>35</v>
          </cell>
          <cell r="AA109">
            <v>15</v>
          </cell>
          <cell r="AB109">
            <v>35</v>
          </cell>
          <cell r="AC109" t="str">
            <v>$25 Copay for up to 54 visits per condition/year combined therapies</v>
          </cell>
          <cell r="AD109" t="str">
            <v>Adult: $35 Copay (one exam per every other Plan Year)/ Pediatric: $15 Copay (one exam per 12-month period)</v>
          </cell>
          <cell r="AE109" t="str">
            <v>Pediatric: Covered at 90%, for one purchase per year</v>
          </cell>
          <cell r="AF109" t="str">
            <v>Covered at 90%</v>
          </cell>
          <cell r="AG109" t="str">
            <v>N/A</v>
          </cell>
          <cell r="AH109">
            <v>10</v>
          </cell>
          <cell r="AI109">
            <v>30</v>
          </cell>
          <cell r="AJ109">
            <v>60</v>
          </cell>
          <cell r="AK109" t="str">
            <v>Yes</v>
          </cell>
          <cell r="AL109" t="str">
            <v>Embedded</v>
          </cell>
          <cell r="AM109" t="str">
            <v>Covered in Full</v>
          </cell>
          <cell r="BD109">
            <v>750.54</v>
          </cell>
          <cell r="BE109">
            <v>1501.08</v>
          </cell>
          <cell r="BF109">
            <v>1275.92</v>
          </cell>
          <cell r="BG109">
            <v>2139.04</v>
          </cell>
        </row>
        <row r="110">
          <cell r="C110" t="str">
            <v>MVP SG Gold 1</v>
          </cell>
          <cell r="D110">
            <v>386.71</v>
          </cell>
          <cell r="E110">
            <v>773.42</v>
          </cell>
          <cell r="F110">
            <v>657.41</v>
          </cell>
          <cell r="G110">
            <v>1102.1199999999999</v>
          </cell>
          <cell r="H110" t="str">
            <v>Hybrid</v>
          </cell>
          <cell r="I110">
            <v>850</v>
          </cell>
          <cell r="J110">
            <v>1700</v>
          </cell>
          <cell r="K110">
            <v>7000</v>
          </cell>
          <cell r="L110">
            <v>14000</v>
          </cell>
          <cell r="M110" t="str">
            <v>As noted below</v>
          </cell>
          <cell r="N110" t="str">
            <v>$0 Copay first 3 visits; $15 Copay thereafter</v>
          </cell>
          <cell r="O110" t="str">
            <v>$50 Copay, subject to deductible</v>
          </cell>
          <cell r="P110">
            <v>50</v>
          </cell>
          <cell r="Q110" t="str">
            <v>Lab: $50 Copay, no deductible/ X-Ray: $50 Copay, subject to deductible</v>
          </cell>
          <cell r="R110">
            <v>300</v>
          </cell>
          <cell r="S110">
            <v>300</v>
          </cell>
          <cell r="T110" t="str">
            <v>$500 Copay, subject to deductible</v>
          </cell>
          <cell r="U110" t="str">
            <v>$200 Copay, subject to deductible</v>
          </cell>
          <cell r="V110" t="str">
            <v>Inpatient: $500 Copay; Physician: $100 Copay, subject to deductible</v>
          </cell>
          <cell r="W110" t="str">
            <v>$100 Copay, subject to deductible</v>
          </cell>
          <cell r="X110" t="str">
            <v>$500 Copay, subject to deductible</v>
          </cell>
          <cell r="Y110" t="str">
            <v>$0 Copay first 3 visits; $15 Mental/$15 Chemical thereafter</v>
          </cell>
          <cell r="Z110" t="str">
            <v>$50 Copay, subject to deductible</v>
          </cell>
          <cell r="AA110" t="str">
            <v>$50 Copay, subject to deductible</v>
          </cell>
          <cell r="AB110" t="str">
            <v>$50 Copay, subject to deductible</v>
          </cell>
          <cell r="AC110" t="str">
            <v>$50 Copay, subject to deductible, for up to 54 visits per condition/year combined therapies</v>
          </cell>
          <cell r="AD110" t="str">
            <v>Adult: $50 Copay (one exam per every other Plan Year)/ Pediatric: $50 Copay (one exam per 12-month period)</v>
          </cell>
          <cell r="AE110" t="str">
            <v>Pediatric: Covered at 50%, subject to deductible for one purchase per year</v>
          </cell>
          <cell r="AF110" t="str">
            <v>Covered at 50%, subject to deductible</v>
          </cell>
          <cell r="AG110" t="str">
            <v>$200/$400 Brand deductible</v>
          </cell>
          <cell r="AH110">
            <v>10</v>
          </cell>
          <cell r="AI110">
            <v>35</v>
          </cell>
          <cell r="AJ110">
            <v>70</v>
          </cell>
          <cell r="AK110" t="str">
            <v>Yes</v>
          </cell>
          <cell r="AL110" t="str">
            <v>Embedded</v>
          </cell>
          <cell r="AM110" t="str">
            <v>Covered in Full</v>
          </cell>
          <cell r="BD110">
            <v>694.4</v>
          </cell>
          <cell r="BE110">
            <v>1388.8</v>
          </cell>
          <cell r="BF110">
            <v>1180.48</v>
          </cell>
          <cell r="BG110">
            <v>1979.04</v>
          </cell>
        </row>
        <row r="111">
          <cell r="C111" t="str">
            <v>MVP SG Gold 2</v>
          </cell>
          <cell r="D111">
            <v>367.76</v>
          </cell>
          <cell r="E111">
            <v>735.52</v>
          </cell>
          <cell r="F111">
            <v>625.19000000000005</v>
          </cell>
          <cell r="G111">
            <v>1048.1199999999999</v>
          </cell>
          <cell r="H111" t="str">
            <v>Hybrid</v>
          </cell>
          <cell r="I111">
            <v>1600</v>
          </cell>
          <cell r="J111">
            <v>3200</v>
          </cell>
          <cell r="K111">
            <v>5000</v>
          </cell>
          <cell r="L111">
            <v>10000</v>
          </cell>
          <cell r="M111" t="str">
            <v>As noted below</v>
          </cell>
          <cell r="N111" t="str">
            <v>$10 Copay, subject to deductible</v>
          </cell>
          <cell r="O111" t="str">
            <v>$20 Copay, subject to deductible</v>
          </cell>
          <cell r="P111" t="str">
            <v>$20 Copay, subject to deductible</v>
          </cell>
          <cell r="Q111" t="str">
            <v>Lab: $20 Copay/ X-Ray: $20 Copay; subject to deductible</v>
          </cell>
          <cell r="R111" t="str">
            <v>$75 Copay, subject to deductible</v>
          </cell>
          <cell r="S111" t="str">
            <v>$75 Copay, subject to deductible</v>
          </cell>
          <cell r="T111" t="str">
            <v>$200 Copay, subject to deductible</v>
          </cell>
          <cell r="U111" t="str">
            <v>$200 Copay, subject to deductible</v>
          </cell>
          <cell r="V111" t="str">
            <v>Inpatient: $200 Copay; Physician: $25 Copay, subject to deductible</v>
          </cell>
          <cell r="W111" t="str">
            <v>$75 Copay, subject to deductible</v>
          </cell>
          <cell r="X111" t="str">
            <v>$200 Copay, subject to deductible</v>
          </cell>
          <cell r="Y111" t="str">
            <v>$10 Mental/$10 Chemical, subject to deductible</v>
          </cell>
          <cell r="Z111" t="str">
            <v>$20 Copay, subject to deductible</v>
          </cell>
          <cell r="AA111" t="str">
            <v>$20 Copay, subject to deductible</v>
          </cell>
          <cell r="AB111" t="str">
            <v>$20 Copay, subject to deductible</v>
          </cell>
          <cell r="AC111" t="str">
            <v>$20 Copay, subject to deductible, for up to 54 visits per condition/year combined therapies</v>
          </cell>
          <cell r="AD111" t="str">
            <v>Adult: $20 Copay (one exam per every other Plan Year)/ Pediatric: $20 Copay (one exam per 12-month period)</v>
          </cell>
          <cell r="AE111" t="str">
            <v>Pediatric: Covered at 50%, subject to deductible for one purchase per year</v>
          </cell>
          <cell r="AF111" t="str">
            <v>Covered at 50%, subject to deductible</v>
          </cell>
          <cell r="AG111" t="str">
            <v>Subject to plan deductible (except preventive drugs)</v>
          </cell>
          <cell r="AH111">
            <v>10</v>
          </cell>
          <cell r="AI111">
            <v>30</v>
          </cell>
          <cell r="AJ111">
            <v>50</v>
          </cell>
          <cell r="AK111" t="str">
            <v>Yes</v>
          </cell>
          <cell r="AL111" t="str">
            <v>Aggregate</v>
          </cell>
          <cell r="AM111" t="str">
            <v>Covered in Full</v>
          </cell>
          <cell r="BD111">
            <v>665.39</v>
          </cell>
          <cell r="BE111">
            <v>1330.78</v>
          </cell>
          <cell r="BF111">
            <v>1131.1600000000001</v>
          </cell>
          <cell r="BG111">
            <v>1896.36</v>
          </cell>
        </row>
        <row r="112">
          <cell r="C112" t="str">
            <v>MVP SG Gold 3</v>
          </cell>
          <cell r="D112">
            <v>382.09</v>
          </cell>
          <cell r="E112">
            <v>764.18</v>
          </cell>
          <cell r="F112">
            <v>649.54999999999995</v>
          </cell>
          <cell r="G112">
            <v>1088.96</v>
          </cell>
          <cell r="H112" t="str">
            <v>Hybrid</v>
          </cell>
          <cell r="I112">
            <v>1000</v>
          </cell>
          <cell r="J112">
            <v>2000</v>
          </cell>
          <cell r="K112">
            <v>5000</v>
          </cell>
          <cell r="L112">
            <v>10000</v>
          </cell>
          <cell r="M112" t="str">
            <v>As noted below</v>
          </cell>
          <cell r="N112" t="str">
            <v>$20 Copay, subject to deductible</v>
          </cell>
          <cell r="O112" t="str">
            <v>$40 Copay, subject to deductible</v>
          </cell>
          <cell r="P112" t="str">
            <v>$40 Copay, subject to deductible</v>
          </cell>
          <cell r="Q112" t="str">
            <v>Lab: $40 Copay/ X-Ray: $40 Copay; subject to deductible</v>
          </cell>
          <cell r="R112" t="str">
            <v>$300 Copay, subject to deductible</v>
          </cell>
          <cell r="S112" t="str">
            <v>$300 Copay, subject to deductible</v>
          </cell>
          <cell r="T112" t="str">
            <v>$800 Copay, subject to deductible</v>
          </cell>
          <cell r="U112" t="str">
            <v>$100 Copay, subject to deductible</v>
          </cell>
          <cell r="V112" t="str">
            <v>Inpatient: $800 Copay; Physician: $50 Copay, subject to deductible</v>
          </cell>
          <cell r="W112" t="str">
            <v>$140 Copay, subject to deductible</v>
          </cell>
          <cell r="X112" t="str">
            <v>$800 Copay, subject to deductible</v>
          </cell>
          <cell r="Y112" t="str">
            <v>$20 Mental/$20 Chemical, subject to deductible</v>
          </cell>
          <cell r="Z112" t="str">
            <v>$40 Copay, subject to deductible</v>
          </cell>
          <cell r="AA112" t="str">
            <v>$40 Copay, subject to deductible</v>
          </cell>
          <cell r="AB112" t="str">
            <v>$40 Copay, subject to deductible</v>
          </cell>
          <cell r="AC112" t="str">
            <v>$40 Copay, subject to deductible, for up to 54 visits per condition/year combined therapies</v>
          </cell>
          <cell r="AD112" t="str">
            <v>Adult: $40 Copay (one exam per every other Plan Year)/ Pediatric: $40 Copay (one exam per 12-month period)</v>
          </cell>
          <cell r="AE112" t="str">
            <v>Pediatric: Covered at 50%, subject to deductible for one purchase per year</v>
          </cell>
          <cell r="AF112" t="str">
            <v>Covered at 50%, subject to deductible</v>
          </cell>
          <cell r="AG112" t="str">
            <v>N/A</v>
          </cell>
          <cell r="AH112">
            <v>10</v>
          </cell>
          <cell r="AI112">
            <v>35</v>
          </cell>
          <cell r="AJ112">
            <v>0.5</v>
          </cell>
          <cell r="AK112" t="str">
            <v>Yes</v>
          </cell>
          <cell r="AL112" t="str">
            <v>Embedded</v>
          </cell>
          <cell r="AM112" t="str">
            <v>Covered in Full</v>
          </cell>
          <cell r="BD112">
            <v>674.06</v>
          </cell>
          <cell r="BE112">
            <v>1348.12</v>
          </cell>
          <cell r="BF112">
            <v>1145.9000000000001</v>
          </cell>
          <cell r="BG112">
            <v>1921.07</v>
          </cell>
        </row>
        <row r="113">
          <cell r="C113" t="str">
            <v>MVP SG Silver 1</v>
          </cell>
          <cell r="D113">
            <v>313.56</v>
          </cell>
          <cell r="E113">
            <v>627.12</v>
          </cell>
          <cell r="F113">
            <v>533.04999999999995</v>
          </cell>
          <cell r="G113">
            <v>893.65</v>
          </cell>
          <cell r="H113" t="str">
            <v>Hybrid</v>
          </cell>
          <cell r="I113">
            <v>2100</v>
          </cell>
          <cell r="J113">
            <v>4200</v>
          </cell>
          <cell r="K113">
            <v>7800</v>
          </cell>
          <cell r="L113">
            <v>15600</v>
          </cell>
          <cell r="M113" t="str">
            <v>As noted below</v>
          </cell>
          <cell r="N113">
            <v>30</v>
          </cell>
          <cell r="O113" t="str">
            <v>$50 Copay, subject to deductible</v>
          </cell>
          <cell r="P113" t="str">
            <v>$50 Copay, subject to deductible</v>
          </cell>
          <cell r="Q113" t="str">
            <v>Lab: PCP: $30 Copay/ Specialist: $50; no deductible; X-Ray: PCP: $50 Copay/ Specialist: $125, subject to deductible</v>
          </cell>
          <cell r="R113" t="str">
            <v>$350 Copay, subject to deductible</v>
          </cell>
          <cell r="S113" t="str">
            <v>$350 Copay, subject to deductible</v>
          </cell>
          <cell r="T113" t="str">
            <v>Covered at 80%, subject to deductible</v>
          </cell>
          <cell r="U113" t="str">
            <v>$300 Copay, subject to deductible</v>
          </cell>
          <cell r="V113" t="str">
            <v>Inpatient: Covered at 80%, subject to deductible</v>
          </cell>
          <cell r="W113" t="str">
            <v>$225 Copay, subject to deductible</v>
          </cell>
          <cell r="X113" t="str">
            <v>Covered at 80%, subject to deductible</v>
          </cell>
          <cell r="Y113" t="str">
            <v>$30 Mental/$30 Chemical</v>
          </cell>
          <cell r="Z113" t="str">
            <v>$50 Copay, subject to deductible</v>
          </cell>
          <cell r="AA113" t="str">
            <v>$50 Copay, subject to deductible</v>
          </cell>
          <cell r="AB113" t="str">
            <v>$50 Copay, subject to deductible</v>
          </cell>
          <cell r="AC113" t="str">
            <v>$50 Copay, subject to deductible, for up to 54 visits per condition/year combined therapies</v>
          </cell>
          <cell r="AD113" t="str">
            <v>Adult: $50 Copay (one exam per every other Plan Year)/ Pediatric: $50 Copay (one exam per 12-month period)</v>
          </cell>
          <cell r="AE113" t="str">
            <v>Pediatric: Covered at 50%, subject to deductible for one purchase per year</v>
          </cell>
          <cell r="AF113" t="str">
            <v>Covered at 50%, subject to deductible</v>
          </cell>
          <cell r="AG113" t="str">
            <v>$100/$200 Brand deductible</v>
          </cell>
          <cell r="AH113">
            <v>15</v>
          </cell>
          <cell r="AI113">
            <v>35</v>
          </cell>
          <cell r="AJ113">
            <v>70</v>
          </cell>
          <cell r="AK113" t="str">
            <v>Yes</v>
          </cell>
          <cell r="AL113" t="str">
            <v>Embedded</v>
          </cell>
          <cell r="AM113" t="str">
            <v>Covered in Full</v>
          </cell>
          <cell r="BD113">
            <v>590.74</v>
          </cell>
          <cell r="BE113">
            <v>1181.48</v>
          </cell>
          <cell r="BF113">
            <v>1004.26</v>
          </cell>
          <cell r="BG113">
            <v>1683.61</v>
          </cell>
        </row>
        <row r="114">
          <cell r="C114" t="str">
            <v>MVP SG Silver 3</v>
          </cell>
          <cell r="D114">
            <v>325.47000000000003</v>
          </cell>
          <cell r="E114">
            <v>650.94000000000005</v>
          </cell>
          <cell r="F114">
            <v>553.29999999999995</v>
          </cell>
          <cell r="G114">
            <v>927.59</v>
          </cell>
          <cell r="H114" t="str">
            <v>Hybrid</v>
          </cell>
          <cell r="I114">
            <v>2200</v>
          </cell>
          <cell r="J114">
            <v>4400</v>
          </cell>
          <cell r="K114">
            <v>5200</v>
          </cell>
          <cell r="L114">
            <v>10400</v>
          </cell>
          <cell r="M114" t="str">
            <v>As noted below</v>
          </cell>
          <cell r="N114" t="str">
            <v>$25 Copay, subject to deductible</v>
          </cell>
          <cell r="O114" t="str">
            <v>$50 Copay, subject to deductible</v>
          </cell>
          <cell r="P114" t="str">
            <v>$50 Copay, subject to deductible</v>
          </cell>
          <cell r="Q114" t="str">
            <v>PCP: $25 Copay; Specialist: $50 Copay, subject to deductible</v>
          </cell>
          <cell r="R114" t="str">
            <v>$300 Copay, subject to deductible</v>
          </cell>
          <cell r="S114" t="str">
            <v>$300 Copay, subject to deductible</v>
          </cell>
          <cell r="T114" t="str">
            <v>$500 Copay, subject to deductible</v>
          </cell>
          <cell r="U114" t="str">
            <v>$200 Copay, subject to deductible</v>
          </cell>
          <cell r="V114" t="str">
            <v>Inpatient: $500 Copay; Physician: $100 Copay, subject to deductible</v>
          </cell>
          <cell r="W114" t="str">
            <v>$150 Copay, subject to deductible</v>
          </cell>
          <cell r="X114" t="str">
            <v>$500 Copay, subject to deductible</v>
          </cell>
          <cell r="Y114" t="str">
            <v>$25 Mental/$25 Chemical, subject to deductible</v>
          </cell>
          <cell r="Z114" t="str">
            <v>$50 Copay, subject to deductible</v>
          </cell>
          <cell r="AA114" t="str">
            <v>$50 Copay, subject to deductible</v>
          </cell>
          <cell r="AB114" t="str">
            <v>$50 Copay, subject to deductible</v>
          </cell>
          <cell r="AC114" t="str">
            <v>$50 Copay, subject to deductible, for up to 54 visits per condition/year combined therapies</v>
          </cell>
          <cell r="AD114" t="str">
            <v>Adult: $50 Copay (one exam per every other Plan Year)/ Pediatric: $50 Copay (one exam per 12-month period)</v>
          </cell>
          <cell r="AE114" t="str">
            <v>Pediatric: Covered at 50%, subject to deductible, for one purchase per year</v>
          </cell>
          <cell r="AF114" t="str">
            <v>Covered at 50%, subject to deductible</v>
          </cell>
          <cell r="AG114" t="str">
            <v>Subject to plan deductible (except preventive drugs)</v>
          </cell>
          <cell r="AH114">
            <v>15</v>
          </cell>
          <cell r="AI114">
            <v>40</v>
          </cell>
          <cell r="AJ114">
            <v>60</v>
          </cell>
          <cell r="AK114" t="str">
            <v>Yes</v>
          </cell>
          <cell r="AL114" t="str">
            <v>Aggregate</v>
          </cell>
          <cell r="AM114" t="str">
            <v>Covered in Full</v>
          </cell>
          <cell r="BD114">
            <v>580.59</v>
          </cell>
          <cell r="BE114">
            <v>1161.18</v>
          </cell>
          <cell r="BF114">
            <v>987</v>
          </cell>
          <cell r="BG114">
            <v>1654.68</v>
          </cell>
        </row>
        <row r="115">
          <cell r="C115" t="str">
            <v>MVP SG Silver 4</v>
          </cell>
          <cell r="D115">
            <v>303.42</v>
          </cell>
          <cell r="E115">
            <v>606.84</v>
          </cell>
          <cell r="F115">
            <v>515.80999999999995</v>
          </cell>
          <cell r="G115">
            <v>864.75</v>
          </cell>
          <cell r="H115" t="str">
            <v>Hybrid</v>
          </cell>
          <cell r="I115">
            <v>2500</v>
          </cell>
          <cell r="J115">
            <v>5000</v>
          </cell>
          <cell r="K115">
            <v>6350</v>
          </cell>
          <cell r="L115">
            <v>12700</v>
          </cell>
          <cell r="M115" t="str">
            <v>As noted below</v>
          </cell>
          <cell r="N115" t="str">
            <v>$20 Copay, subject to deductible</v>
          </cell>
          <cell r="O115" t="str">
            <v>$50 Copay, subject to deductible</v>
          </cell>
          <cell r="P115" t="str">
            <v>$50 Copay, subject to deductible</v>
          </cell>
          <cell r="Q115" t="str">
            <v>Lab: $50 Copay/ X-Ray: $50 Copay; subject to deductible</v>
          </cell>
          <cell r="R115" t="str">
            <v>$300 Copay, subject to deductible</v>
          </cell>
          <cell r="S115" t="str">
            <v>$300 Copay, subject to deductible</v>
          </cell>
          <cell r="T115" t="str">
            <v>$800 Copay, subject to deductible</v>
          </cell>
          <cell r="U115" t="str">
            <v>$200 Copay, subject to deductible</v>
          </cell>
          <cell r="V115" t="str">
            <v>Inpatient: $800 Copay; Physician: $100 Copay, subject to deductible</v>
          </cell>
          <cell r="W115" t="str">
            <v>$180 Copay, subject to deductible</v>
          </cell>
          <cell r="X115" t="str">
            <v>$800 Copay, subject to deductible</v>
          </cell>
          <cell r="Y115" t="str">
            <v>$20 Mental/$20 Chemical, subject to deductible</v>
          </cell>
          <cell r="Z115" t="str">
            <v>$50 Copay, subject to deductible</v>
          </cell>
          <cell r="AA115" t="str">
            <v>$50 Copay, subject to deductible</v>
          </cell>
          <cell r="AB115" t="str">
            <v>$50 Copay, subject to deductible</v>
          </cell>
          <cell r="AC115" t="str">
            <v>$50 Copay, subject to deductible, for up to 54 visits per condition/year combined therapies</v>
          </cell>
          <cell r="AD115" t="str">
            <v>Adult: $50 Copay (one exam per every other Plan Year)/ Pediatric: $50 Copay (one exam per 12-month period)</v>
          </cell>
          <cell r="AE115" t="str">
            <v>Pediatric: Covered at 50%, subject to deductible, for one purchase per year</v>
          </cell>
          <cell r="AF115" t="str">
            <v>Covered at 50%, subject to deductible</v>
          </cell>
          <cell r="AG115" t="str">
            <v>N/A</v>
          </cell>
          <cell r="AH115">
            <v>10</v>
          </cell>
          <cell r="AI115">
            <v>35</v>
          </cell>
          <cell r="AJ115">
            <v>0.5</v>
          </cell>
          <cell r="AK115" t="str">
            <v>Yes</v>
          </cell>
          <cell r="AL115" t="str">
            <v>Embedded</v>
          </cell>
          <cell r="AM115" t="str">
            <v>Covered in Full</v>
          </cell>
          <cell r="BD115">
            <v>568.72</v>
          </cell>
          <cell r="BE115">
            <v>1137.44</v>
          </cell>
          <cell r="BF115">
            <v>966.82</v>
          </cell>
          <cell r="BG115">
            <v>1620.85</v>
          </cell>
        </row>
        <row r="116">
          <cell r="C116" t="str">
            <v>MVP SG Bronze 2</v>
          </cell>
          <cell r="D116">
            <v>262.23</v>
          </cell>
          <cell r="E116">
            <v>524.46</v>
          </cell>
          <cell r="F116">
            <v>445.79</v>
          </cell>
          <cell r="G116">
            <v>747.36</v>
          </cell>
          <cell r="H116" t="str">
            <v>Hybrid</v>
          </cell>
          <cell r="I116">
            <v>6000</v>
          </cell>
          <cell r="J116">
            <v>12000</v>
          </cell>
          <cell r="K116">
            <v>8400</v>
          </cell>
          <cell r="L116">
            <v>16800</v>
          </cell>
          <cell r="M116" t="str">
            <v>As noted below</v>
          </cell>
          <cell r="N116" t="str">
            <v>$0 Copay first 3 visits; $35 Copay thereafter, subject to deductible</v>
          </cell>
          <cell r="O116" t="str">
            <v>$60 Copay, subject to deductible</v>
          </cell>
          <cell r="P116" t="str">
            <v>$60 Copay, subject to deductible</v>
          </cell>
          <cell r="Q116" t="str">
            <v>Lab: $60 Copay/ X-Ray: $60 Copay; subject to deductible</v>
          </cell>
          <cell r="R116" t="str">
            <v>$350 Copay, subject to deductible</v>
          </cell>
          <cell r="S116" t="str">
            <v>$350 Copay, subject to deductible</v>
          </cell>
          <cell r="T116" t="str">
            <v>Covered at 70%, subject to deductible</v>
          </cell>
          <cell r="U116" t="str">
            <v>$300 Copay, subject to deductible</v>
          </cell>
          <cell r="V116" t="str">
            <v>Inpatient: Covered at 70%; subject to deductible</v>
          </cell>
          <cell r="W116" t="str">
            <v>$60 Copay, subject to deductible</v>
          </cell>
          <cell r="X116" t="str">
            <v>Covered at 70%, subject to deductible</v>
          </cell>
          <cell r="Y116" t="str">
            <v xml:space="preserve">$0 Copay first 3 visits; $35 Mental/$35 Chemical thereafter, subject to deductible </v>
          </cell>
          <cell r="Z116" t="str">
            <v>$60 Copay, subject to deductible</v>
          </cell>
          <cell r="AA116" t="str">
            <v>$60 Copay, subject to deductible</v>
          </cell>
          <cell r="AB116" t="str">
            <v>$60 Copay, subject to deductible</v>
          </cell>
          <cell r="AC116" t="str">
            <v>$60 Copay, subject to deductible, for up to 54 visits per condition/year combined therapies</v>
          </cell>
          <cell r="AD116" t="str">
            <v>Adult: $60 Copay (one exam per every other Plan Year)/ Pediatric: $60 Copay (one exam per 12-month period); subject to deductible</v>
          </cell>
          <cell r="AE116" t="str">
            <v>Pediatric: Covered at 50%, subject to deductible, for one purchase per year</v>
          </cell>
          <cell r="AF116" t="str">
            <v>Covered at 50%, subject to deductible</v>
          </cell>
          <cell r="AG116" t="str">
            <v>Subject to plan deductible</v>
          </cell>
          <cell r="AH116">
            <v>10</v>
          </cell>
          <cell r="AI116">
            <v>40</v>
          </cell>
          <cell r="AJ116">
            <v>60</v>
          </cell>
          <cell r="AK116" t="str">
            <v>Yes</v>
          </cell>
          <cell r="AL116" t="str">
            <v>Embedded</v>
          </cell>
          <cell r="AM116" t="str">
            <v>Covered in Full</v>
          </cell>
          <cell r="BD116">
            <v>455.3</v>
          </cell>
          <cell r="BE116">
            <v>910.6</v>
          </cell>
          <cell r="BF116">
            <v>774.01</v>
          </cell>
          <cell r="BG116">
            <v>1297.6099999999999</v>
          </cell>
        </row>
        <row r="117">
          <cell r="C117" t="str">
            <v>MVP SG Bronze 3</v>
          </cell>
          <cell r="D117">
            <v>249.81</v>
          </cell>
          <cell r="E117">
            <v>499.62</v>
          </cell>
          <cell r="F117">
            <v>424.68</v>
          </cell>
          <cell r="G117">
            <v>711.96</v>
          </cell>
          <cell r="H117" t="str">
            <v>Hybrid</v>
          </cell>
          <cell r="I117">
            <v>6200</v>
          </cell>
          <cell r="J117">
            <v>12400</v>
          </cell>
          <cell r="K117">
            <v>6900</v>
          </cell>
          <cell r="L117">
            <v>13800</v>
          </cell>
          <cell r="M117" t="str">
            <v>As noted below</v>
          </cell>
          <cell r="N117" t="str">
            <v>$30 Copay, subject to deductible</v>
          </cell>
          <cell r="O117" t="str">
            <v>$50 Copay, subject to deductible</v>
          </cell>
          <cell r="P117" t="str">
            <v>$50 Copay, subject to deductible</v>
          </cell>
          <cell r="Q117" t="str">
            <v>Lab: $50 Copay/ X-Ray: $50 Copay; subject to deductible</v>
          </cell>
          <cell r="R117" t="str">
            <v>$300 Copay, subject to deductible</v>
          </cell>
          <cell r="S117" t="str">
            <v>$300 Copay, subject to deductible</v>
          </cell>
          <cell r="T117" t="str">
            <v>Covered at 70%, subject to deductible</v>
          </cell>
          <cell r="U117" t="str">
            <v>$100 Copay, subject to deductible</v>
          </cell>
          <cell r="V117" t="str">
            <v>Inpatient: Covered at 70%, subject to deductible</v>
          </cell>
          <cell r="W117" t="str">
            <v>$200 Copay, subject to deductible</v>
          </cell>
          <cell r="X117" t="str">
            <v>Covered at 70%, subject to deductible</v>
          </cell>
          <cell r="Y117" t="str">
            <v>$30 Mental/$30 Chemical, subject to deductible</v>
          </cell>
          <cell r="Z117" t="str">
            <v>$50 Copay, subject to deductible</v>
          </cell>
          <cell r="AA117" t="str">
            <v>$50 Copay, subject to deductible</v>
          </cell>
          <cell r="AB117" t="str">
            <v>$50 Copay, subject to deductible</v>
          </cell>
          <cell r="AC117" t="str">
            <v>$50 Copay, subject to deductible, for up to 54 visits per condition/year combined therapies</v>
          </cell>
          <cell r="AD117" t="str">
            <v>Adult: $50 Copay (one exam per every other Plan Year)/ Pediatric: $50 Copay (one exam per 12-month period)</v>
          </cell>
          <cell r="AE117" t="str">
            <v>Pediatric: Covered at 50%, subject to deductible, for one purchase per year</v>
          </cell>
          <cell r="AF117" t="str">
            <v>Covered at 50%, subject to deductible</v>
          </cell>
          <cell r="AG117" t="str">
            <v>Subject to plan deductible (except preventive drugs)</v>
          </cell>
          <cell r="AH117">
            <v>10</v>
          </cell>
          <cell r="AI117">
            <v>40</v>
          </cell>
          <cell r="AJ117">
            <v>60</v>
          </cell>
          <cell r="AK117" t="str">
            <v>Yes</v>
          </cell>
          <cell r="AL117" t="str">
            <v>Embedded</v>
          </cell>
          <cell r="AM117" t="str">
            <v>Covered in Full</v>
          </cell>
          <cell r="BD117">
            <v>479.06</v>
          </cell>
          <cell r="BE117">
            <v>958.12</v>
          </cell>
          <cell r="BF117">
            <v>814.4</v>
          </cell>
          <cell r="BG117">
            <v>1365.32</v>
          </cell>
        </row>
        <row r="118">
          <cell r="C118" t="str">
            <v>MVP SG Bronze 5</v>
          </cell>
          <cell r="D118">
            <v>253.67</v>
          </cell>
          <cell r="E118">
            <v>507.34</v>
          </cell>
          <cell r="F118">
            <v>431.24</v>
          </cell>
          <cell r="G118">
            <v>722.96</v>
          </cell>
          <cell r="H118" t="str">
            <v>HDHP</v>
          </cell>
          <cell r="I118">
            <v>6250</v>
          </cell>
          <cell r="J118">
            <v>12500</v>
          </cell>
          <cell r="K118">
            <v>6900</v>
          </cell>
          <cell r="L118">
            <v>13800</v>
          </cell>
          <cell r="M118" t="str">
            <v>As noted below</v>
          </cell>
          <cell r="N118" t="str">
            <v>$5 Copay, subject to deductible</v>
          </cell>
          <cell r="O118" t="str">
            <v>Covered at 50%, subject to deductible</v>
          </cell>
          <cell r="P118" t="str">
            <v>Covered at 50%, subject to deductible</v>
          </cell>
          <cell r="Q118" t="str">
            <v>PCP: $5 Copay; Specialist: Covered at 50%, subject to deductible</v>
          </cell>
          <cell r="R118" t="str">
            <v>$100 Copay, subject to deductible</v>
          </cell>
          <cell r="S118" t="str">
            <v>$100 Copay, subject to deductible</v>
          </cell>
          <cell r="T118" t="str">
            <v>Covered at 50%, subject to deductible</v>
          </cell>
          <cell r="U118" t="str">
            <v>Covered at 50%, subject to deductible</v>
          </cell>
          <cell r="V118" t="str">
            <v>Covered at 50%, subject to deductible</v>
          </cell>
          <cell r="W118" t="str">
            <v>Covered at 50%, subject to deductible</v>
          </cell>
          <cell r="X118" t="str">
            <v>Covered at 50%, subject to deductible</v>
          </cell>
          <cell r="Y118" t="str">
            <v>$5 Mental/$5 Chemical, subject to deductible</v>
          </cell>
          <cell r="Z118" t="str">
            <v>Covered at 50%, subject to deductible</v>
          </cell>
          <cell r="AA118" t="str">
            <v>Covered at 50%, subject to deductible</v>
          </cell>
          <cell r="AB118" t="str">
            <v>Covered at 50%, subject to deductible</v>
          </cell>
          <cell r="AC118" t="str">
            <v>Covered at 50%, subject to deductible, for up to 54 visits per condition/year combined therapies</v>
          </cell>
          <cell r="AD118" t="str">
            <v>Adult: Covered at 50% (one exam per every other Plan Year)/ Pediatric: Covered at 50% (one exam per 12-month period); subject to deductible</v>
          </cell>
          <cell r="AE118" t="str">
            <v>Pediatric: Covered at 50%, subject to deductible, for one purchase per year</v>
          </cell>
          <cell r="AF118" t="str">
            <v>Covered at 50%, subject to deductible</v>
          </cell>
          <cell r="AG118" t="str">
            <v>Subject to plan deductible (except preventive drugs)</v>
          </cell>
          <cell r="AH118">
            <v>5</v>
          </cell>
          <cell r="AI118">
            <v>30</v>
          </cell>
          <cell r="AJ118">
            <v>0.5</v>
          </cell>
          <cell r="AK118" t="str">
            <v>Yes</v>
          </cell>
          <cell r="AL118" t="str">
            <v>Embedded</v>
          </cell>
          <cell r="AM118" t="str">
            <v>Covered in Full</v>
          </cell>
          <cell r="BD118">
            <v>468.8</v>
          </cell>
          <cell r="BE118">
            <v>937.6</v>
          </cell>
          <cell r="BF118">
            <v>796.96</v>
          </cell>
          <cell r="BG118">
            <v>1336.08</v>
          </cell>
        </row>
        <row r="119">
          <cell r="C119" t="str">
            <v>MVP SG Bronze 6</v>
          </cell>
          <cell r="D119">
            <v>325.47000000000003</v>
          </cell>
          <cell r="E119">
            <v>650.94000000000005</v>
          </cell>
          <cell r="F119">
            <v>553.29999999999995</v>
          </cell>
          <cell r="G119">
            <v>927.59</v>
          </cell>
          <cell r="H119" t="str">
            <v>HDHP</v>
          </cell>
          <cell r="I119">
            <v>6900</v>
          </cell>
          <cell r="J119">
            <v>13800</v>
          </cell>
          <cell r="K119">
            <v>6900</v>
          </cell>
          <cell r="L119">
            <v>13800</v>
          </cell>
          <cell r="M119" t="str">
            <v>As noted below</v>
          </cell>
          <cell r="N119" t="str">
            <v>Covered at 100%, subject to deductible</v>
          </cell>
          <cell r="O119" t="str">
            <v>Covered at 100%, subject to deductible</v>
          </cell>
          <cell r="P119" t="str">
            <v>Covered at 100%, subject to deductible</v>
          </cell>
          <cell r="Q119" t="str">
            <v>Covered at 100%, subject to deductible</v>
          </cell>
          <cell r="R119" t="str">
            <v>Covered at 100%, subject to deductible</v>
          </cell>
          <cell r="S119" t="str">
            <v>Covered at 100%, subject to deductible</v>
          </cell>
          <cell r="T119" t="str">
            <v>Covered at 100%, subject to deductible</v>
          </cell>
          <cell r="U119" t="str">
            <v>Covered at 100%, subject to deductible</v>
          </cell>
          <cell r="V119" t="str">
            <v>Covered at 100%, subject to deductible</v>
          </cell>
          <cell r="W119" t="str">
            <v>Covered at 100%, subject to deductible</v>
          </cell>
          <cell r="X119" t="str">
            <v>Covered at 100%, subject to deductible</v>
          </cell>
          <cell r="Y119" t="str">
            <v>Covered at 100%, subject to deductible</v>
          </cell>
          <cell r="Z119" t="str">
            <v>Covered at 100%, subject to deductible</v>
          </cell>
          <cell r="AA119" t="str">
            <v>Covered at 100%, subject to deductible</v>
          </cell>
          <cell r="AB119" t="str">
            <v>Covered at 100%, subject to deductible</v>
          </cell>
          <cell r="AC119" t="str">
            <v>Covered at 100%, subject to deductible, for up to 54 visits per condition/year combined therapies</v>
          </cell>
          <cell r="AD119" t="str">
            <v>Adult: Covered at 100% (one exam per every other Plan Year)/ Pediatric: Covered at 100% (one exam per 12-month period); subject to deductible</v>
          </cell>
          <cell r="AE119" t="str">
            <v>Pediatric: Covered at 100%, subject to deductible, for one purchase per year</v>
          </cell>
          <cell r="AF119" t="str">
            <v>Covered at 100%, subject to deductible</v>
          </cell>
          <cell r="AG119" t="str">
            <v>Subject to plan deductible (except preventive drugs)</v>
          </cell>
          <cell r="AH119">
            <v>0</v>
          </cell>
          <cell r="AI119">
            <v>0</v>
          </cell>
          <cell r="AJ119">
            <v>0</v>
          </cell>
          <cell r="AK119" t="str">
            <v>Yes</v>
          </cell>
          <cell r="AL119" t="str">
            <v>Embedded</v>
          </cell>
          <cell r="AM119" t="str">
            <v>Covered in Full</v>
          </cell>
          <cell r="BD119">
            <v>498.05</v>
          </cell>
          <cell r="BE119">
            <v>996.1</v>
          </cell>
          <cell r="BF119">
            <v>846.69</v>
          </cell>
          <cell r="BG119">
            <v>1419.44</v>
          </cell>
        </row>
        <row r="120">
          <cell r="C120" t="str">
            <v>MVP SG Bronze 7</v>
          </cell>
          <cell r="H120" t="str">
            <v>HDHP</v>
          </cell>
          <cell r="I120">
            <v>6200</v>
          </cell>
          <cell r="J120">
            <v>12400</v>
          </cell>
          <cell r="K120">
            <v>6900</v>
          </cell>
          <cell r="L120">
            <v>13800</v>
          </cell>
          <cell r="M120" t="str">
            <v>As noted below</v>
          </cell>
          <cell r="N120" t="str">
            <v>Covered at 60%, subject to deductible</v>
          </cell>
          <cell r="O120" t="str">
            <v>Covered at 60%, subject to deductible</v>
          </cell>
          <cell r="P120" t="str">
            <v>Covered at 60%, subject to deductible</v>
          </cell>
          <cell r="Q120" t="str">
            <v>Covered at 60%, subject to deductible</v>
          </cell>
          <cell r="R120" t="str">
            <v>Covered at 60%, subject to deductible</v>
          </cell>
          <cell r="S120" t="str">
            <v>Covered at 60%, subject to deductible</v>
          </cell>
          <cell r="T120" t="str">
            <v>Covered at 60%, subject to deductible</v>
          </cell>
          <cell r="U120" t="str">
            <v>Covered at 60%, subject to deductible</v>
          </cell>
          <cell r="V120" t="str">
            <v>Covered at 60%, subject to deductible</v>
          </cell>
          <cell r="W120" t="str">
            <v>Covered at 60%, subject to deductible</v>
          </cell>
          <cell r="X120" t="str">
            <v>Covered at 60%, subject to deductible</v>
          </cell>
          <cell r="Y120" t="str">
            <v>Covered at 60%, subject to deductible</v>
          </cell>
          <cell r="Z120" t="str">
            <v>Covered at 60%, subject to deductible</v>
          </cell>
          <cell r="AA120" t="str">
            <v>Covered at 60%, subject to deductible</v>
          </cell>
          <cell r="AB120" t="str">
            <v>Covered at 60%, subject to deductible</v>
          </cell>
          <cell r="AC120" t="str">
            <v>Covered at 60%, subject to deductible, for up to 54 visits per condition/year combined therapies</v>
          </cell>
          <cell r="AD120" t="str">
            <v>Adult: Covered at 60% (one exam per every other Plan Year)/ Pediatric: Covered at 60% (one exam per 12-month period); subject to deductible</v>
          </cell>
          <cell r="AE120" t="str">
            <v>Pediatric: Covered at 60%, subject to deductible, for one purchase per year</v>
          </cell>
          <cell r="AF120" t="str">
            <v>Covered at 60%, subject to deductible</v>
          </cell>
          <cell r="AG120" t="str">
            <v>Subject to plan deductible (except preventive drugs)</v>
          </cell>
          <cell r="AH120">
            <v>10</v>
          </cell>
          <cell r="AI120">
            <v>40</v>
          </cell>
          <cell r="AJ120">
            <v>60</v>
          </cell>
          <cell r="AK120" t="str">
            <v>Yes</v>
          </cell>
          <cell r="AL120" t="str">
            <v>Embedded</v>
          </cell>
          <cell r="AM120" t="str">
            <v>Covered in Full</v>
          </cell>
          <cell r="BD120">
            <v>475</v>
          </cell>
          <cell r="BE120">
            <v>950</v>
          </cell>
          <cell r="BF120">
            <v>807.5</v>
          </cell>
          <cell r="BG120">
            <v>1353.75</v>
          </cell>
        </row>
        <row r="121">
          <cell r="C121" t="str">
            <v>MVP SG Gold 7</v>
          </cell>
          <cell r="H121" t="str">
            <v>HDHP</v>
          </cell>
          <cell r="I121">
            <v>1400</v>
          </cell>
          <cell r="J121">
            <v>2800</v>
          </cell>
          <cell r="K121">
            <v>2800</v>
          </cell>
          <cell r="L121">
            <v>5600</v>
          </cell>
          <cell r="M121" t="str">
            <v>As noted below</v>
          </cell>
          <cell r="N121" t="str">
            <v>Covered at 85%, subject to deductible</v>
          </cell>
          <cell r="O121" t="str">
            <v>Covered at 85%, subject to deductible</v>
          </cell>
          <cell r="P121" t="str">
            <v>Covered at 85%, subject to deductible</v>
          </cell>
          <cell r="Q121" t="str">
            <v>Covered at 85%, subject to deductible</v>
          </cell>
          <cell r="R121" t="str">
            <v>Covered at 85%, subject to deductible</v>
          </cell>
          <cell r="S121" t="str">
            <v>Covered at 85%, subject to deductible</v>
          </cell>
          <cell r="T121" t="str">
            <v>Covered at 85%, subject to deductible</v>
          </cell>
          <cell r="U121" t="str">
            <v>Covered at 85%, subject to deductible</v>
          </cell>
          <cell r="V121" t="str">
            <v>Covered at 85%, subject to deductible</v>
          </cell>
          <cell r="W121" t="str">
            <v>Covered at 85%, subject to deductible</v>
          </cell>
          <cell r="X121" t="str">
            <v>Covered at 85%, subject to deductible</v>
          </cell>
          <cell r="Y121" t="str">
            <v>Covered at 85%, subject to deductible</v>
          </cell>
          <cell r="Z121" t="str">
            <v>Covered at 85%, subject to deductible</v>
          </cell>
          <cell r="AA121" t="str">
            <v>Covered at 85%, subject to deductible</v>
          </cell>
          <cell r="AB121" t="str">
            <v>Covered at 85%, subject to deductible</v>
          </cell>
          <cell r="AC121" t="str">
            <v>Covered at 85%, subject to deductible, for up to 54 visits per condition/year combined therapies</v>
          </cell>
          <cell r="AD121" t="str">
            <v>Adult: Covered at 85% (one exam per every other Plan Year)/ Pediatric: Covered at 85% (one exam per 12-month period); subject to deductible</v>
          </cell>
          <cell r="AE121" t="str">
            <v>Pediatric: Covered at 85%, subject to deductible, for one purchase per year</v>
          </cell>
          <cell r="AF121" t="str">
            <v>Covered at 85%, subject to deductible</v>
          </cell>
          <cell r="AG121" t="str">
            <v>Subject to plan deductible (except preventive drugs)</v>
          </cell>
          <cell r="AH121">
            <v>5</v>
          </cell>
          <cell r="AI121">
            <v>35</v>
          </cell>
          <cell r="AJ121">
            <v>70</v>
          </cell>
          <cell r="AK121" t="str">
            <v>Yes</v>
          </cell>
          <cell r="AL121" t="str">
            <v>Aggregate</v>
          </cell>
          <cell r="AM121" t="str">
            <v>Covered in Full</v>
          </cell>
        </row>
        <row r="122">
          <cell r="C122" t="str">
            <v>MVP SG Gold 8</v>
          </cell>
          <cell r="H122" t="str">
            <v>HDHP</v>
          </cell>
          <cell r="I122">
            <v>4000</v>
          </cell>
          <cell r="J122">
            <v>8000</v>
          </cell>
          <cell r="K122">
            <v>8000</v>
          </cell>
          <cell r="L122">
            <v>16000</v>
          </cell>
          <cell r="M122" t="str">
            <v>As noted below</v>
          </cell>
          <cell r="N122">
            <v>40</v>
          </cell>
          <cell r="O122">
            <v>60</v>
          </cell>
          <cell r="P122">
            <v>60</v>
          </cell>
          <cell r="Q122" t="str">
            <v>Lab: $60 Copay/ X-Ray: $60 Copay</v>
          </cell>
          <cell r="R122">
            <v>300</v>
          </cell>
          <cell r="S122">
            <v>300</v>
          </cell>
          <cell r="T122" t="str">
            <v>Covered at 80%, subject to deductible</v>
          </cell>
          <cell r="U122" t="str">
            <v>Covered at 80%, subject to deductible</v>
          </cell>
          <cell r="V122" t="str">
            <v>Covered at 80%, subject to deductible</v>
          </cell>
          <cell r="W122">
            <v>150</v>
          </cell>
          <cell r="X122" t="str">
            <v>Covered at 80%, subject to deductible</v>
          </cell>
          <cell r="Y122" t="str">
            <v>$40 Mental/$40 Chemical</v>
          </cell>
          <cell r="Z122">
            <v>60</v>
          </cell>
          <cell r="AA122">
            <v>60</v>
          </cell>
          <cell r="AB122">
            <v>60</v>
          </cell>
          <cell r="AC122" t="str">
            <v>$60 Copay for up to 54 visits per condition/year combined therapies</v>
          </cell>
          <cell r="AD122" t="str">
            <v>Adult: $60 Copay (one exam per every other Plan Year)/ Pediatric: $60 Copay (one exam per 12-month period)</v>
          </cell>
          <cell r="AE122" t="str">
            <v>Pediatric: Covered at 50%, subject to deductible, for one purchase per year</v>
          </cell>
          <cell r="AF122" t="str">
            <v>Covered at 50%, subject to deductible</v>
          </cell>
          <cell r="AG122" t="str">
            <v>N/A</v>
          </cell>
          <cell r="AH122">
            <v>10</v>
          </cell>
          <cell r="AI122">
            <v>40</v>
          </cell>
          <cell r="AJ122">
            <v>60</v>
          </cell>
          <cell r="AK122" t="str">
            <v>Yes</v>
          </cell>
          <cell r="AL122" t="str">
            <v>Embedded</v>
          </cell>
          <cell r="AM122" t="str">
            <v>Covered in Full</v>
          </cell>
          <cell r="BD122">
            <v>651.32000000000005</v>
          </cell>
          <cell r="BE122">
            <v>1302.6400000000001</v>
          </cell>
          <cell r="BF122">
            <v>1107.24</v>
          </cell>
          <cell r="BG122">
            <v>1856.26</v>
          </cell>
        </row>
        <row r="123">
          <cell r="C123" t="str">
            <v>MVP SG Silver 2</v>
          </cell>
          <cell r="H123" t="str">
            <v>Hybrid</v>
          </cell>
          <cell r="I123">
            <v>4500</v>
          </cell>
          <cell r="J123">
            <v>9000</v>
          </cell>
          <cell r="K123">
            <v>8400</v>
          </cell>
          <cell r="L123">
            <v>16800</v>
          </cell>
          <cell r="M123" t="str">
            <v>As noted below</v>
          </cell>
          <cell r="N123" t="str">
            <v>$0 Copay first 3 visits; $35 Copay thereafter</v>
          </cell>
          <cell r="O123" t="str">
            <v>$60 Copay, subject to deductible</v>
          </cell>
          <cell r="P123">
            <v>60</v>
          </cell>
          <cell r="Q123" t="str">
            <v>Lab: $40 PCP/$60 Specialist; X-Ray: $40 PCP/$125 Specialist</v>
          </cell>
          <cell r="R123">
            <v>350</v>
          </cell>
          <cell r="S123">
            <v>500</v>
          </cell>
          <cell r="T123" t="str">
            <v>Covered at 70%, subject to deductible</v>
          </cell>
          <cell r="U123" t="str">
            <v>$300, subject to deductible</v>
          </cell>
          <cell r="V123" t="str">
            <v>Covered at 70%, subject to deductible</v>
          </cell>
          <cell r="W123" t="str">
            <v>$225 Copay, subject to deductible</v>
          </cell>
          <cell r="X123" t="str">
            <v>Covered at 70%, subject to deductible</v>
          </cell>
          <cell r="Y123" t="str">
            <v>$0 Copay first 3 visits - $40 Copay thereafter</v>
          </cell>
          <cell r="Z123" t="str">
            <v>$60 Copay, subject to deductible</v>
          </cell>
          <cell r="AA123" t="str">
            <v>$60 copay, subject to deductible</v>
          </cell>
          <cell r="AB123" t="str">
            <v>$60 Copay, subject to deductible</v>
          </cell>
          <cell r="AC123" t="str">
            <v>$60 Copay, subject to deductible, for up to 54 visits per condition/year combined therapies</v>
          </cell>
          <cell r="AD123" t="str">
            <v>Adult: $60 Copay (one exam per every other Plan Year)/ Pediatric: $70 Copay (one exam per 12-month period)</v>
          </cell>
          <cell r="AE123" t="str">
            <v>Pediatric: Covered at 50%, subject to deductible, for one purchase per year</v>
          </cell>
          <cell r="AF123" t="str">
            <v>Covered at 50%, subject to deductible</v>
          </cell>
          <cell r="AG123" t="str">
            <v>Subject to plan deductible</v>
          </cell>
          <cell r="AH123">
            <v>10</v>
          </cell>
          <cell r="AI123">
            <v>45</v>
          </cell>
          <cell r="AJ123">
            <v>90</v>
          </cell>
          <cell r="AK123" t="str">
            <v>Yes</v>
          </cell>
          <cell r="AL123" t="str">
            <v>Embedded</v>
          </cell>
          <cell r="AM123" t="str">
            <v>Covered in Full</v>
          </cell>
          <cell r="BD123">
            <v>537.29</v>
          </cell>
          <cell r="BE123">
            <v>1074.58</v>
          </cell>
          <cell r="BF123">
            <v>913.39</v>
          </cell>
          <cell r="BG123">
            <v>1531.28</v>
          </cell>
        </row>
        <row r="124">
          <cell r="C124" t="str">
            <v>MVP SG Platinum 3</v>
          </cell>
          <cell r="D124">
            <v>462.55</v>
          </cell>
          <cell r="E124">
            <v>925.1</v>
          </cell>
          <cell r="F124">
            <v>786.34</v>
          </cell>
          <cell r="G124">
            <v>1318.27</v>
          </cell>
          <cell r="H124" t="str">
            <v>Copay</v>
          </cell>
          <cell r="I124" t="str">
            <v>N/A</v>
          </cell>
          <cell r="J124" t="str">
            <v>N/A</v>
          </cell>
          <cell r="K124">
            <v>2550</v>
          </cell>
          <cell r="L124">
            <v>5100</v>
          </cell>
          <cell r="M124" t="str">
            <v>As noted below</v>
          </cell>
          <cell r="N124">
            <v>40</v>
          </cell>
          <cell r="O124">
            <v>50</v>
          </cell>
          <cell r="P124">
            <v>50</v>
          </cell>
          <cell r="Q124" t="str">
            <v>PCP: $40 Copay, Specialist: $50 Copay</v>
          </cell>
          <cell r="R124">
            <v>200</v>
          </cell>
          <cell r="S124">
            <v>200</v>
          </cell>
          <cell r="T124">
            <v>300</v>
          </cell>
          <cell r="U124">
            <v>200</v>
          </cell>
          <cell r="V124" t="str">
            <v>Inpatient: $300 Copay; Physician: $50 Copay</v>
          </cell>
          <cell r="W124">
            <v>150</v>
          </cell>
          <cell r="X124">
            <v>300</v>
          </cell>
          <cell r="Y124" t="str">
            <v>$40 Mental/$40 Chemical</v>
          </cell>
          <cell r="Z124">
            <v>50</v>
          </cell>
          <cell r="AA124">
            <v>50</v>
          </cell>
          <cell r="AB124">
            <v>50</v>
          </cell>
          <cell r="AC124" t="str">
            <v>$50 Copay for up to 54 visits per condition/year combined therapies</v>
          </cell>
          <cell r="AD124" t="str">
            <v>Adult: $50 Copay (one exam per every other Plan Year)/ Pediatric: $50 Copay (one exam per 12-month period)</v>
          </cell>
          <cell r="AE124" t="str">
            <v>Pediatric: Covered at 50%, for one purchase per year</v>
          </cell>
          <cell r="AF124" t="str">
            <v>Covered at 50%</v>
          </cell>
          <cell r="AG124" t="str">
            <v>N/A</v>
          </cell>
          <cell r="AH124">
            <v>10</v>
          </cell>
          <cell r="AI124">
            <v>30</v>
          </cell>
          <cell r="AJ124">
            <v>50</v>
          </cell>
          <cell r="AK124" t="str">
            <v>Yes</v>
          </cell>
          <cell r="AL124" t="str">
            <v>Embedded</v>
          </cell>
          <cell r="AM124" t="str">
            <v>Covered in Full</v>
          </cell>
          <cell r="BD124">
            <v>793.49</v>
          </cell>
          <cell r="BE124">
            <v>1586.98</v>
          </cell>
          <cell r="BF124">
            <v>1348.93</v>
          </cell>
          <cell r="BG124">
            <v>2261.4499999999998</v>
          </cell>
        </row>
        <row r="125">
          <cell r="C125" t="str">
            <v>MVP SG Platinum 5</v>
          </cell>
          <cell r="D125">
            <v>462.55</v>
          </cell>
          <cell r="E125">
            <v>925.1</v>
          </cell>
          <cell r="F125">
            <v>786.34</v>
          </cell>
          <cell r="G125">
            <v>1318.27</v>
          </cell>
          <cell r="H125" t="str">
            <v>Copay</v>
          </cell>
          <cell r="I125" t="str">
            <v>N/A</v>
          </cell>
          <cell r="J125" t="str">
            <v>N/A</v>
          </cell>
          <cell r="K125">
            <v>3550</v>
          </cell>
          <cell r="L125">
            <v>7100</v>
          </cell>
          <cell r="M125" t="str">
            <v>As noted below</v>
          </cell>
          <cell r="N125">
            <v>15</v>
          </cell>
          <cell r="O125">
            <v>25</v>
          </cell>
          <cell r="P125">
            <v>25</v>
          </cell>
          <cell r="Q125" t="str">
            <v>Lab: $25 Copay/ X-Ray: $25 Copay</v>
          </cell>
          <cell r="R125">
            <v>200</v>
          </cell>
          <cell r="S125">
            <v>200</v>
          </cell>
          <cell r="T125">
            <v>550</v>
          </cell>
          <cell r="U125">
            <v>300</v>
          </cell>
          <cell r="V125" t="str">
            <v>Inpatient: $550 Copay</v>
          </cell>
          <cell r="W125">
            <v>50</v>
          </cell>
          <cell r="X125">
            <v>550</v>
          </cell>
          <cell r="Y125" t="str">
            <v>$15 Mental/$15 Chemical</v>
          </cell>
          <cell r="Z125">
            <v>25</v>
          </cell>
          <cell r="AA125">
            <v>25</v>
          </cell>
          <cell r="AB125">
            <v>25</v>
          </cell>
          <cell r="AC125" t="str">
            <v>$25 Copay for up to 54 visits per condition/year combined therapies</v>
          </cell>
          <cell r="AD125" t="str">
            <v>Adult: $25 Copay (one exam per every other Plan Year)/ Pediatric: $25 Copay (one exam per 12-month period)</v>
          </cell>
          <cell r="AE125" t="str">
            <v>Pediatric: Covered at 50%, for one purchase per year</v>
          </cell>
          <cell r="AF125" t="str">
            <v>Covered at 50%</v>
          </cell>
          <cell r="AG125" t="str">
            <v>N/A</v>
          </cell>
          <cell r="AH125">
            <v>10</v>
          </cell>
          <cell r="AI125">
            <v>40</v>
          </cell>
          <cell r="AJ125">
            <v>60</v>
          </cell>
          <cell r="AK125" t="str">
            <v>Yes</v>
          </cell>
          <cell r="AL125" t="str">
            <v>Embedded</v>
          </cell>
          <cell r="AM125" t="str">
            <v>Covered in Full</v>
          </cell>
          <cell r="BD125">
            <v>801.71</v>
          </cell>
          <cell r="BE125">
            <v>1603.42</v>
          </cell>
          <cell r="BF125">
            <v>1362.91</v>
          </cell>
          <cell r="BG125">
            <v>2284.87</v>
          </cell>
        </row>
        <row r="126">
          <cell r="C126" t="str">
            <v>MVP SG Gold 4</v>
          </cell>
          <cell r="D126">
            <v>462.55</v>
          </cell>
          <cell r="E126">
            <v>925.1</v>
          </cell>
          <cell r="F126">
            <v>786.34</v>
          </cell>
          <cell r="G126">
            <v>1318.27</v>
          </cell>
          <cell r="H126" t="str">
            <v>Copay</v>
          </cell>
          <cell r="I126" t="str">
            <v>N/A</v>
          </cell>
          <cell r="J126" t="str">
            <v>N/A</v>
          </cell>
          <cell r="K126">
            <v>6750</v>
          </cell>
          <cell r="L126">
            <v>13500</v>
          </cell>
          <cell r="M126" t="str">
            <v>As noted below</v>
          </cell>
          <cell r="N126">
            <v>40</v>
          </cell>
          <cell r="O126">
            <v>60</v>
          </cell>
          <cell r="P126">
            <v>60</v>
          </cell>
          <cell r="Q126" t="str">
            <v>Lab: $60 Copay/ X-Ray: $60 Copay</v>
          </cell>
          <cell r="R126">
            <v>500</v>
          </cell>
          <cell r="S126">
            <v>500</v>
          </cell>
          <cell r="T126">
            <v>750</v>
          </cell>
          <cell r="U126">
            <v>300</v>
          </cell>
          <cell r="V126" t="str">
            <v>Inpatient: $750 Copay</v>
          </cell>
          <cell r="W126">
            <v>150</v>
          </cell>
          <cell r="X126">
            <v>750</v>
          </cell>
          <cell r="Y126" t="str">
            <v>$40 Mental/$40 Chemical</v>
          </cell>
          <cell r="Z126">
            <v>60</v>
          </cell>
          <cell r="AA126">
            <v>60</v>
          </cell>
          <cell r="AB126">
            <v>60</v>
          </cell>
          <cell r="AC126" t="str">
            <v>$60 Copay for up to 54 visits per condition/year combined therapies</v>
          </cell>
          <cell r="AD126" t="str">
            <v>Adult: $60 Copay (one exam per every other Plan Year)/ Pediatric: $60 Copay (one exam per 12-month period)</v>
          </cell>
          <cell r="AE126" t="str">
            <v>Pediatric: Covered at 50%, for one purchase per year</v>
          </cell>
          <cell r="AF126" t="str">
            <v>Covered at 50%</v>
          </cell>
          <cell r="AG126" t="str">
            <v>N/A</v>
          </cell>
          <cell r="AH126">
            <v>10</v>
          </cell>
          <cell r="AI126">
            <v>40</v>
          </cell>
          <cell r="AJ126">
            <v>60</v>
          </cell>
          <cell r="AK126" t="str">
            <v>Yes</v>
          </cell>
          <cell r="AL126" t="str">
            <v>Embedded</v>
          </cell>
          <cell r="AM126" t="str">
            <v>Covered in Full</v>
          </cell>
          <cell r="BD126">
            <v>721.87</v>
          </cell>
          <cell r="BE126">
            <v>1443.74</v>
          </cell>
          <cell r="BF126">
            <v>1227.18</v>
          </cell>
          <cell r="BG126">
            <v>2057.33</v>
          </cell>
        </row>
        <row r="127">
          <cell r="C127" t="str">
            <v>MVP SG Gold 6</v>
          </cell>
          <cell r="D127">
            <v>386.71</v>
          </cell>
          <cell r="E127">
            <v>773.42</v>
          </cell>
          <cell r="F127">
            <v>657.41</v>
          </cell>
          <cell r="G127">
            <v>1102.1199999999999</v>
          </cell>
          <cell r="H127" t="str">
            <v>Hybrid</v>
          </cell>
          <cell r="I127">
            <v>350</v>
          </cell>
          <cell r="J127">
            <v>700</v>
          </cell>
          <cell r="K127">
            <v>6550</v>
          </cell>
          <cell r="L127">
            <v>13100</v>
          </cell>
          <cell r="M127" t="str">
            <v>As noted below</v>
          </cell>
          <cell r="N127">
            <v>30</v>
          </cell>
          <cell r="O127">
            <v>50</v>
          </cell>
          <cell r="P127">
            <v>50</v>
          </cell>
          <cell r="Q127" t="str">
            <v>Lab: $50 Copay/ X-Ray: $50 Copay</v>
          </cell>
          <cell r="R127">
            <v>100</v>
          </cell>
          <cell r="S127">
            <v>100</v>
          </cell>
          <cell r="T127" t="str">
            <v>$1,000 Copay, subject to deductible</v>
          </cell>
          <cell r="U127" t="str">
            <v>$300 Copay, subject to deductible</v>
          </cell>
          <cell r="V127" t="str">
            <v>Inpatient: $1,000 Copay; Physician: $100 Copay, subject to deductible</v>
          </cell>
          <cell r="W127" t="str">
            <v>$100 Copay, subject to deductible</v>
          </cell>
          <cell r="X127" t="str">
            <v>$1,000 Copay, subject to deductible</v>
          </cell>
          <cell r="Y127" t="str">
            <v>$30 Mental/$30 Chemical</v>
          </cell>
          <cell r="Z127">
            <v>50</v>
          </cell>
          <cell r="AA127">
            <v>50</v>
          </cell>
          <cell r="AB127">
            <v>50</v>
          </cell>
          <cell r="AC127" t="str">
            <v>$50 Copay for up to 54 visits per condition/year combined therapies</v>
          </cell>
          <cell r="AD127" t="str">
            <v>Adult: $50 Copay (one exam per every other Plan Year)/ Pediatric: $50 Copay (one exam per 12-month period)</v>
          </cell>
          <cell r="AE127" t="str">
            <v>Pediatric: Covered at 50%, subject to deductible, for one purchase per year</v>
          </cell>
          <cell r="AF127" t="str">
            <v>Covered at 50%, subject to deductible</v>
          </cell>
          <cell r="AG127" t="str">
            <v xml:space="preserve">N/A </v>
          </cell>
          <cell r="AH127">
            <v>10</v>
          </cell>
          <cell r="AI127">
            <v>40</v>
          </cell>
          <cell r="AJ127">
            <v>60</v>
          </cell>
          <cell r="AK127" t="str">
            <v>Yes</v>
          </cell>
          <cell r="AL127" t="str">
            <v>Embedded</v>
          </cell>
          <cell r="AM127" t="str">
            <v>Covered in Full</v>
          </cell>
          <cell r="BD127">
            <v>725.9</v>
          </cell>
          <cell r="BE127">
            <v>1451.8</v>
          </cell>
          <cell r="BF127">
            <v>1234.03</v>
          </cell>
          <cell r="BG127">
            <v>2068.8200000000002</v>
          </cell>
        </row>
        <row r="128">
          <cell r="C128" t="str">
            <v>MVP SG Gold PPO</v>
          </cell>
          <cell r="D128">
            <v>386.71</v>
          </cell>
          <cell r="E128">
            <v>773.42</v>
          </cell>
          <cell r="F128">
            <v>657.41</v>
          </cell>
          <cell r="G128">
            <v>1102.1199999999999</v>
          </cell>
          <cell r="H128" t="str">
            <v>Hybrid</v>
          </cell>
          <cell r="I128">
            <v>700</v>
          </cell>
          <cell r="J128">
            <v>1400</v>
          </cell>
          <cell r="K128">
            <v>7150</v>
          </cell>
          <cell r="L128">
            <v>14300</v>
          </cell>
          <cell r="M128" t="str">
            <v>As noted below</v>
          </cell>
          <cell r="N128">
            <v>40</v>
          </cell>
          <cell r="O128">
            <v>60</v>
          </cell>
          <cell r="P128" t="str">
            <v>$60 Copay, subject to deductible</v>
          </cell>
          <cell r="Q128" t="str">
            <v>Lab: $60 Copay/ X-Ray: $90 Copay</v>
          </cell>
          <cell r="R128" t="str">
            <v>$300 Copay, subject to deductible</v>
          </cell>
          <cell r="S128" t="str">
            <v>$300 Copay, subject to deductible</v>
          </cell>
          <cell r="T128" t="str">
            <v>$500 Copay, subject to deductible</v>
          </cell>
          <cell r="U128" t="str">
            <v>$300 Copay, subject to deductible</v>
          </cell>
          <cell r="V128" t="str">
            <v>Inpatient: $500 Copay; Physician: $0 Copay, subject to deductible</v>
          </cell>
          <cell r="W128" t="str">
            <v>$190 Copay, subject to deductible</v>
          </cell>
          <cell r="X128" t="str">
            <v>$500 Copay, subject to deductible</v>
          </cell>
          <cell r="Y128" t="str">
            <v>$40 Mental/$40 Chemical</v>
          </cell>
          <cell r="Z128">
            <v>60</v>
          </cell>
          <cell r="AA128">
            <v>60</v>
          </cell>
          <cell r="AB128">
            <v>60</v>
          </cell>
          <cell r="AC128" t="str">
            <v>$60 Copay for up to 54 visits per condition/year combined therapies</v>
          </cell>
          <cell r="AD128" t="str">
            <v>Adult: $60 Copay (one exam per every other Plan Year)/ Pediatric: $60 Copay (one exam per 12-month period)</v>
          </cell>
          <cell r="AE128" t="str">
            <v>Pediatric: Covered at 50%, subject to deductible, for one purchase per year</v>
          </cell>
          <cell r="AF128" t="str">
            <v>Covered at 50%, subject to deductible</v>
          </cell>
          <cell r="AG128" t="str">
            <v>N/A</v>
          </cell>
          <cell r="AH128">
            <v>10</v>
          </cell>
          <cell r="AI128">
            <v>40</v>
          </cell>
          <cell r="AJ128">
            <v>60</v>
          </cell>
          <cell r="AK128" t="str">
            <v>Yes</v>
          </cell>
          <cell r="AL128" t="str">
            <v>Embedded</v>
          </cell>
          <cell r="AM128" t="str">
            <v>Covered in Full</v>
          </cell>
        </row>
        <row r="129">
          <cell r="C129" t="str">
            <v>MVP SG Gold 1 HMO</v>
          </cell>
          <cell r="H129" t="str">
            <v>Hybrid</v>
          </cell>
          <cell r="I129">
            <v>850</v>
          </cell>
          <cell r="J129">
            <v>1700</v>
          </cell>
          <cell r="K129">
            <v>7000</v>
          </cell>
          <cell r="L129">
            <v>14000</v>
          </cell>
          <cell r="M129" t="str">
            <v>As noted below</v>
          </cell>
          <cell r="N129" t="str">
            <v>$0 Copay first 3 visits; $15 Copay thereafter</v>
          </cell>
          <cell r="O129" t="str">
            <v>$50 Copay, subject to deductible</v>
          </cell>
          <cell r="P129">
            <v>50</v>
          </cell>
          <cell r="Q129" t="str">
            <v>Lab: $50 Copay no deductible/ X-Ray: $50 Copay, subject to deductible</v>
          </cell>
          <cell r="R129">
            <v>300</v>
          </cell>
          <cell r="S129">
            <v>300</v>
          </cell>
          <cell r="T129" t="str">
            <v>$500 Copay, subject to deductible</v>
          </cell>
          <cell r="U129" t="str">
            <v>$200 Copay, subject to deductible</v>
          </cell>
          <cell r="V129" t="str">
            <v>Inpatient: $500 Copay; Physician: $100 Copay, subject to deductible</v>
          </cell>
          <cell r="W129" t="str">
            <v>$100 Copay, subject to deductible</v>
          </cell>
          <cell r="X129" t="str">
            <v>$500 Copay, subject to deductible</v>
          </cell>
          <cell r="Y129" t="str">
            <v>$0 Copay first 3 visits; $15 Mental/$15 Chemical thereafter, subject to deductible</v>
          </cell>
          <cell r="Z129" t="str">
            <v>$50 Copay, subject to deductible</v>
          </cell>
          <cell r="AA129" t="str">
            <v>$50 Copay, subject to deductible</v>
          </cell>
          <cell r="AB129" t="str">
            <v>$50 Copay, subject to deductible</v>
          </cell>
          <cell r="AC129" t="str">
            <v>$50 Copay for up to 54 visits per condition/year combined therapies</v>
          </cell>
          <cell r="AD129" t="str">
            <v>Adult: $50 Copay (one exam per every other Plan Year)/ Pediatric: $50 Copay (one exam per 12-month period)</v>
          </cell>
          <cell r="AE129" t="str">
            <v>Pediatric: Covered at 50%, subect to deductible, for one purchase per year</v>
          </cell>
          <cell r="AF129" t="str">
            <v>Covered at 50%, subject to deductible</v>
          </cell>
          <cell r="AG129" t="str">
            <v>$200/$400 Brand deductible</v>
          </cell>
          <cell r="AH129">
            <v>10</v>
          </cell>
          <cell r="AI129">
            <v>35</v>
          </cell>
          <cell r="AJ129">
            <v>70</v>
          </cell>
          <cell r="AK129" t="str">
            <v>Yes</v>
          </cell>
          <cell r="AL129" t="str">
            <v>Embedded</v>
          </cell>
          <cell r="AM129" t="str">
            <v>Covered in Full</v>
          </cell>
          <cell r="BD129">
            <v>644.5</v>
          </cell>
          <cell r="BE129">
            <v>1289</v>
          </cell>
          <cell r="BF129">
            <v>1095.6500000000001</v>
          </cell>
          <cell r="BG129">
            <v>1836.83</v>
          </cell>
        </row>
        <row r="130">
          <cell r="C130" t="str">
            <v>MVP SG Gold 2 HMO</v>
          </cell>
          <cell r="H130" t="str">
            <v>Hybrid</v>
          </cell>
          <cell r="I130">
            <v>1600</v>
          </cell>
          <cell r="J130">
            <v>3200</v>
          </cell>
          <cell r="K130">
            <v>5000</v>
          </cell>
          <cell r="L130">
            <v>10000</v>
          </cell>
          <cell r="M130" t="str">
            <v>As noted below</v>
          </cell>
          <cell r="N130" t="str">
            <v>$10 Copay, subject to deductible</v>
          </cell>
          <cell r="O130" t="str">
            <v>$20 Copay, subject to deductible</v>
          </cell>
          <cell r="P130" t="str">
            <v>$20 Copay, subject to deductible</v>
          </cell>
          <cell r="Q130" t="str">
            <v>$20 Copay/ X-Ray: $20 Copay, subject to deductible</v>
          </cell>
          <cell r="R130" t="str">
            <v>$75 Copay, subject to deductible</v>
          </cell>
          <cell r="S130" t="str">
            <v>$75 Copay, subject to deductible</v>
          </cell>
          <cell r="T130" t="str">
            <v>$200 Copay, subject to deductible</v>
          </cell>
          <cell r="U130" t="str">
            <v>$200 Copay, subject to deductible</v>
          </cell>
          <cell r="V130" t="str">
            <v>Inpatient: $200 Copay; Physician: $25 Copay, subject to deductible</v>
          </cell>
          <cell r="W130" t="str">
            <v>$75 Copay, subject to deductible</v>
          </cell>
          <cell r="X130" t="str">
            <v>$200 Copay, subject to deductible</v>
          </cell>
          <cell r="Y130" t="str">
            <v>$10 Mental/ $10 Chemical</v>
          </cell>
          <cell r="Z130" t="str">
            <v>$20 Copay, subject to deductible</v>
          </cell>
          <cell r="AA130" t="str">
            <v>$20 Copay, subject to deductible</v>
          </cell>
          <cell r="AB130" t="str">
            <v>$20 Copay, subject to deductible</v>
          </cell>
          <cell r="AC130" t="str">
            <v>$20 Copay for up to 54 visits per condition/year combined therapies</v>
          </cell>
          <cell r="AD130" t="str">
            <v>Adult: $20 Copay (one exam per every other Plan Year)/ Pediatric: $20 Copay (one exam per 12-month period)</v>
          </cell>
          <cell r="AE130" t="str">
            <v>Pediatric: Covered at 50%, subject to deductible, for one purchase per year</v>
          </cell>
          <cell r="AF130" t="str">
            <v>Covered at 50%, subject to deductible</v>
          </cell>
          <cell r="AG130" t="str">
            <v>Subject to plan deductible (except preventive drugs)</v>
          </cell>
          <cell r="AH130">
            <v>10</v>
          </cell>
          <cell r="AI130">
            <v>30</v>
          </cell>
          <cell r="AJ130">
            <v>50</v>
          </cell>
          <cell r="AK130" t="str">
            <v>Yes</v>
          </cell>
          <cell r="AL130" t="str">
            <v>Aggregate</v>
          </cell>
          <cell r="AM130" t="str">
            <v>Covered in Full</v>
          </cell>
          <cell r="BD130">
            <v>617.58000000000004</v>
          </cell>
          <cell r="BE130">
            <v>1235.1600000000001</v>
          </cell>
          <cell r="BF130">
            <v>1049.8900000000001</v>
          </cell>
          <cell r="BG130">
            <v>1760.1</v>
          </cell>
        </row>
        <row r="131">
          <cell r="C131" t="str">
            <v>MVP SG Gold 10 HMO</v>
          </cell>
          <cell r="H131" t="str">
            <v>Hybrid</v>
          </cell>
          <cell r="I131">
            <v>600</v>
          </cell>
          <cell r="J131">
            <v>1200</v>
          </cell>
          <cell r="K131">
            <v>4000</v>
          </cell>
          <cell r="L131">
            <v>8000</v>
          </cell>
          <cell r="M131" t="str">
            <v>As noted below</v>
          </cell>
          <cell r="N131" t="str">
            <v>$25 Copay, subject to deductible</v>
          </cell>
          <cell r="O131" t="str">
            <v>$40 Copay, subject to deductible</v>
          </cell>
          <cell r="P131" t="str">
            <v>$40 Copay, subject to deductible</v>
          </cell>
          <cell r="Q131" t="str">
            <v>Lab: $40 Copay/ X-Ray: $40 Copay; subject to deductible</v>
          </cell>
          <cell r="R131" t="str">
            <v>$300 Copay, subject to deductible</v>
          </cell>
          <cell r="S131" t="str">
            <v>$300 Copay, subject to deductible</v>
          </cell>
          <cell r="T131" t="str">
            <v>$1,000 Copay, subject to deductible</v>
          </cell>
          <cell r="U131" t="str">
            <v>$100 Copay, subject to deductible</v>
          </cell>
          <cell r="V131" t="str">
            <v>Inpatient: $1,000 Copay; Physician: $100 Copay, subject to deductible</v>
          </cell>
          <cell r="W131" t="str">
            <v>$140 Copay, subject to deductible</v>
          </cell>
          <cell r="X131" t="str">
            <v>$1,000 Copay, subject to deductible</v>
          </cell>
          <cell r="Y131" t="str">
            <v>$25 Mental/$25 Chemical</v>
          </cell>
          <cell r="Z131" t="str">
            <v>$40 Copay, subject to deductible</v>
          </cell>
          <cell r="AA131" t="str">
            <v>$25 Copay, subject to deductible</v>
          </cell>
          <cell r="AB131" t="str">
            <v>$40 Copay, subject to deductible</v>
          </cell>
          <cell r="AC131" t="str">
            <v>$40 Copay for up to 54 visits per condition/year combined therapies</v>
          </cell>
          <cell r="AD131" t="str">
            <v>Adult: $40 Copay (one exam per every other Plan Year)/ Pediatric: $25 Copay (one exam per 12-month period)</v>
          </cell>
          <cell r="AE131" t="str">
            <v>Pediatric: Covered at 80%, subject to deductible, for one purchase per year</v>
          </cell>
          <cell r="AF131" t="str">
            <v>Covered at 80%, subject to deductible</v>
          </cell>
          <cell r="AG131" t="str">
            <v>Subject to plan deductible</v>
          </cell>
          <cell r="AH131">
            <v>10</v>
          </cell>
          <cell r="AI131">
            <v>45</v>
          </cell>
          <cell r="AJ131">
            <v>90</v>
          </cell>
          <cell r="AK131" t="str">
            <v>Yes</v>
          </cell>
          <cell r="AL131" t="str">
            <v>Embedded</v>
          </cell>
          <cell r="AM131" t="str">
            <v>Covered in Full</v>
          </cell>
          <cell r="BD131">
            <v>654.14</v>
          </cell>
          <cell r="BE131">
            <v>1308.28</v>
          </cell>
          <cell r="BF131">
            <v>1112.04</v>
          </cell>
          <cell r="BG131">
            <v>1864.3</v>
          </cell>
        </row>
        <row r="132">
          <cell r="C132" t="str">
            <v>MVP SG Silver 7</v>
          </cell>
          <cell r="D132">
            <v>386.71</v>
          </cell>
          <cell r="E132">
            <v>773.42</v>
          </cell>
          <cell r="F132">
            <v>657.41</v>
          </cell>
          <cell r="G132">
            <v>1102.1199999999999</v>
          </cell>
          <cell r="H132" t="str">
            <v>Hybrid</v>
          </cell>
          <cell r="I132">
            <v>3100</v>
          </cell>
          <cell r="J132">
            <v>6200</v>
          </cell>
          <cell r="K132">
            <v>8000</v>
          </cell>
          <cell r="L132">
            <v>16000</v>
          </cell>
          <cell r="M132" t="str">
            <v>As noted below</v>
          </cell>
          <cell r="N132">
            <v>30</v>
          </cell>
          <cell r="O132" t="str">
            <v>$40 Copay, subject to deductible</v>
          </cell>
          <cell r="P132" t="str">
            <v>$40 Copay</v>
          </cell>
          <cell r="Q132" t="str">
            <v>Lab: $25 PCP/$40 Specialist; X-Ray: $40 PCP/$85 Specialist, subject to deductible</v>
          </cell>
          <cell r="R132" t="str">
            <v>$200 Copay, subject to deductible</v>
          </cell>
          <cell r="S132" t="str">
            <v>$200 Copay, subject to deductible</v>
          </cell>
          <cell r="T132" t="str">
            <v>$500 Copay, subject to deductible</v>
          </cell>
          <cell r="U132" t="str">
            <v>$200 Copay, subject to deductible</v>
          </cell>
          <cell r="V132" t="str">
            <v>Inpatient: $500 Copay; Physician: $100 Copay, subject to deductible</v>
          </cell>
          <cell r="W132" t="str">
            <v>$150 Copay, subject to deductible</v>
          </cell>
          <cell r="X132" t="str">
            <v>$500 Copay, subject to deductible</v>
          </cell>
          <cell r="Y132">
            <v>30</v>
          </cell>
          <cell r="Z132" t="str">
            <v>$40 Copay, subject to deductible</v>
          </cell>
          <cell r="AA132" t="str">
            <v>$40 Copay, subject to deductible</v>
          </cell>
          <cell r="AB132" t="str">
            <v>$40 Copay, subject to deductible</v>
          </cell>
          <cell r="AC132" t="str">
            <v>$40 Copay, subject to deductible, for up to 54 visits per condition/year combined therapies</v>
          </cell>
          <cell r="AD132" t="str">
            <v>Adult/ Pediatric: $40 Copay, subject to deductible (one exam per 12-month period)</v>
          </cell>
          <cell r="AE132" t="str">
            <v>Pediatric: Covered at 50%, subject to deductible, for one purchase per year</v>
          </cell>
          <cell r="AF132" t="str">
            <v>Covered at 50%, subject to deductible</v>
          </cell>
          <cell r="AG132" t="str">
            <v>N/A</v>
          </cell>
          <cell r="AH132">
            <v>15</v>
          </cell>
          <cell r="AI132">
            <v>45</v>
          </cell>
          <cell r="AJ132">
            <v>90</v>
          </cell>
          <cell r="AK132" t="str">
            <v>Yes</v>
          </cell>
          <cell r="AL132" t="str">
            <v>Embedded</v>
          </cell>
          <cell r="AM132" t="str">
            <v>Covered in Full</v>
          </cell>
          <cell r="BD132">
            <v>587.29999999999995</v>
          </cell>
          <cell r="BE132">
            <v>1174.5999999999999</v>
          </cell>
          <cell r="BF132">
            <v>998.41</v>
          </cell>
          <cell r="BG132">
            <v>1673.81</v>
          </cell>
        </row>
        <row r="133">
          <cell r="C133" t="str">
            <v>MVP SG Silver 8</v>
          </cell>
          <cell r="D133">
            <v>325.47000000000003</v>
          </cell>
          <cell r="E133">
            <v>650.94000000000005</v>
          </cell>
          <cell r="F133">
            <v>553.29999999999995</v>
          </cell>
          <cell r="G133">
            <v>927.59</v>
          </cell>
          <cell r="H133" t="str">
            <v>HDHP</v>
          </cell>
          <cell r="I133">
            <v>3900</v>
          </cell>
          <cell r="J133">
            <v>7800</v>
          </cell>
          <cell r="K133">
            <v>6000</v>
          </cell>
          <cell r="L133">
            <v>12000</v>
          </cell>
          <cell r="M133" t="str">
            <v>As noted below</v>
          </cell>
          <cell r="N133" t="str">
            <v>Covered at 100%, subject to deductible</v>
          </cell>
          <cell r="O133" t="str">
            <v>Covered at 100%, subject to deductible</v>
          </cell>
          <cell r="P133" t="str">
            <v>Covered at 100%, subject to deductible</v>
          </cell>
          <cell r="Q133" t="str">
            <v>Covered at 100%, subject to deductible</v>
          </cell>
          <cell r="R133" t="str">
            <v>Covered at 100%, subject to deductible</v>
          </cell>
          <cell r="S133" t="str">
            <v>Covered at 100%, subject to deductible</v>
          </cell>
          <cell r="T133" t="str">
            <v>Covered at 100%, subject to deductible</v>
          </cell>
          <cell r="U133" t="str">
            <v>Covered at 100%, subject to deductible</v>
          </cell>
          <cell r="V133" t="str">
            <v>Covered at 100%, subject to deductible</v>
          </cell>
          <cell r="W133" t="str">
            <v>Covered at 100%, subject to deductible</v>
          </cell>
          <cell r="X133" t="str">
            <v>Covered at 100%, subject to deductible</v>
          </cell>
          <cell r="Y133" t="str">
            <v>Covered at 100%, subject to deductible</v>
          </cell>
          <cell r="Z133" t="str">
            <v>Covered at 100%, subject to deductible</v>
          </cell>
          <cell r="AA133" t="str">
            <v>Covered at 100%, subject to deductible</v>
          </cell>
          <cell r="AB133" t="str">
            <v>Covered at 100%, subject to deductible</v>
          </cell>
          <cell r="AC133" t="str">
            <v>Covered at 100%, subject to deductible, for up to 54 visits per condition/year combined therapies</v>
          </cell>
          <cell r="AD133" t="str">
            <v>Adult/ Pediatric: Covered at 100%, subject to deductible (one exam per 12-month period)</v>
          </cell>
          <cell r="AE133" t="str">
            <v>Pediatric: Covered at 100%, subject to deductible, for one purchase per year</v>
          </cell>
          <cell r="AF133" t="str">
            <v>Covered at 100%, subject to deductible</v>
          </cell>
          <cell r="AG133" t="str">
            <v>Subject to plan deductible (except preventive drugs)</v>
          </cell>
          <cell r="AH133">
            <v>15</v>
          </cell>
          <cell r="AI133">
            <v>40</v>
          </cell>
          <cell r="AJ133">
            <v>60</v>
          </cell>
          <cell r="AK133" t="str">
            <v>Yes</v>
          </cell>
          <cell r="AL133" t="str">
            <v>Embedded</v>
          </cell>
          <cell r="AM133" t="str">
            <v>Covered in Full</v>
          </cell>
          <cell r="BD133">
            <v>561.42999999999995</v>
          </cell>
          <cell r="BE133">
            <v>1122.8599999999999</v>
          </cell>
          <cell r="BF133">
            <v>954.43</v>
          </cell>
          <cell r="BG133">
            <v>1600.08</v>
          </cell>
        </row>
        <row r="134">
          <cell r="C134" t="str">
            <v>MVP SG Silver 3 HMO</v>
          </cell>
          <cell r="H134" t="str">
            <v>HDHP</v>
          </cell>
          <cell r="I134">
            <v>2200</v>
          </cell>
          <cell r="J134">
            <v>4400</v>
          </cell>
          <cell r="K134">
            <v>5200</v>
          </cell>
          <cell r="L134">
            <v>10400</v>
          </cell>
          <cell r="M134" t="str">
            <v>As noted below</v>
          </cell>
          <cell r="N134" t="str">
            <v>$25 Copay, subject to deductible</v>
          </cell>
          <cell r="O134" t="str">
            <v>$50 Copay, subject to deductible</v>
          </cell>
          <cell r="P134" t="str">
            <v>$50 Copay, subject to deductible</v>
          </cell>
          <cell r="Q134" t="str">
            <v>Lab: $50 Copay/ X-Ray: $50 Copay; subject to deductible</v>
          </cell>
          <cell r="R134" t="str">
            <v>$300 Copay, subject to deductible</v>
          </cell>
          <cell r="S134" t="str">
            <v>$300 Copay, subject to deductible</v>
          </cell>
          <cell r="T134" t="str">
            <v>$500 Copay, subject to deductible</v>
          </cell>
          <cell r="U134" t="str">
            <v>$200 Copay, subject to deductible</v>
          </cell>
          <cell r="V134" t="str">
            <v>Inpatient: $500 Copay; Physician: $100 Copay, subject to deductible</v>
          </cell>
          <cell r="W134" t="str">
            <v>$150 Copay, subject to deductible</v>
          </cell>
          <cell r="X134" t="str">
            <v>$500 Copay, subject to deductible</v>
          </cell>
          <cell r="Y134" t="str">
            <v>$25 Copay, subject to deductible</v>
          </cell>
          <cell r="Z134" t="str">
            <v>$50 Copay, subject to deductible</v>
          </cell>
          <cell r="AA134" t="str">
            <v>$50 Copay, subject to deductible</v>
          </cell>
          <cell r="AB134" t="str">
            <v>$50 Copay, subject to deductible</v>
          </cell>
          <cell r="AC134" t="str">
            <v>$50 Copay, subject to deductible, for up to 54 visits per condition/year combined therapies</v>
          </cell>
          <cell r="AD134" t="str">
            <v>Adult/ Pediatric: $50 Copay, subject to deductible (one exam per 12-month period)</v>
          </cell>
          <cell r="AE134" t="str">
            <v>Pediatric: Covered at 50%, subject to deductible, for one purchase per year</v>
          </cell>
          <cell r="AF134" t="str">
            <v>Covered at 50%, subject to deductible</v>
          </cell>
          <cell r="AG134" t="str">
            <v>Subject to plan deductible (except preventive drugs)</v>
          </cell>
          <cell r="AH134">
            <v>15</v>
          </cell>
          <cell r="AI134">
            <v>40</v>
          </cell>
          <cell r="AJ134">
            <v>60</v>
          </cell>
          <cell r="AK134" t="str">
            <v>Yes</v>
          </cell>
          <cell r="AL134" t="str">
            <v>Aggregate</v>
          </cell>
          <cell r="AM134" t="str">
            <v>Covered in Full</v>
          </cell>
          <cell r="BD134">
            <v>538.87</v>
          </cell>
          <cell r="BE134">
            <v>1077.74</v>
          </cell>
          <cell r="BF134">
            <v>916.08</v>
          </cell>
          <cell r="BG134">
            <v>1535.78</v>
          </cell>
        </row>
        <row r="135">
          <cell r="C135" t="str">
            <v>MVP SG Silver 12 HMO</v>
          </cell>
          <cell r="H135" t="str">
            <v>HDHP</v>
          </cell>
          <cell r="I135">
            <v>1700</v>
          </cell>
          <cell r="J135">
            <v>3400</v>
          </cell>
          <cell r="K135">
            <v>7900</v>
          </cell>
          <cell r="L135">
            <v>15800</v>
          </cell>
          <cell r="M135" t="str">
            <v>As noted below</v>
          </cell>
          <cell r="N135" t="str">
            <v>$30 Copay, subject to deductible</v>
          </cell>
          <cell r="O135" t="str">
            <v>$50 Copay, subject to deductible</v>
          </cell>
          <cell r="P135" t="str">
            <v>$50 Copay, subject to deductible</v>
          </cell>
          <cell r="Q135" t="str">
            <v>Lab: $50 Copay/ X-Ray: $50 Copay, subject to deductible</v>
          </cell>
          <cell r="R135" t="str">
            <v>$250 Copay, subject to deductible</v>
          </cell>
          <cell r="S135" t="str">
            <v>$150 Copay, subject to deductible</v>
          </cell>
          <cell r="T135" t="str">
            <v>$1,500 Copay, subject to deductible</v>
          </cell>
          <cell r="U135" t="str">
            <v>$200 Copay, subject to deductible</v>
          </cell>
          <cell r="V135" t="str">
            <v>Inpatient: $1,500 Copay; Physician: $100 Copay, subject to deductible</v>
          </cell>
          <cell r="W135" t="str">
            <v>$100 Copay, subject to deductible</v>
          </cell>
          <cell r="X135" t="str">
            <v>$1,500 Copay, subject to deductible</v>
          </cell>
          <cell r="Y135" t="str">
            <v>$30 Copay, subject to deductible</v>
          </cell>
          <cell r="Z135" t="str">
            <v>$30 Copay, subject to deductible</v>
          </cell>
          <cell r="AA135" t="str">
            <v>$30 Copay, subject to deductible</v>
          </cell>
          <cell r="AB135" t="str">
            <v>$50 Copay, subject to deductible</v>
          </cell>
          <cell r="AC135" t="str">
            <v>$30 Copay, subject to deductible, for up to 54 visits per condition/year combined therapies</v>
          </cell>
          <cell r="AD135" t="str">
            <v>Adult: $50 Copay (one exam per every other Plan Year)/ Pediatric: $30 Copay (one exam per 12-month period)</v>
          </cell>
          <cell r="AF135" t="str">
            <v>Covered at 70%, subject to deductible</v>
          </cell>
          <cell r="AG135" t="str">
            <v>Subject to plan deductible</v>
          </cell>
          <cell r="AH135">
            <v>10</v>
          </cell>
          <cell r="AI135">
            <v>35</v>
          </cell>
          <cell r="AJ135">
            <v>70</v>
          </cell>
          <cell r="AK135" t="str">
            <v>Yes</v>
          </cell>
          <cell r="AL135" t="str">
            <v>Embedded</v>
          </cell>
          <cell r="AM135" t="str">
            <v>Covered in Full</v>
          </cell>
          <cell r="BD135">
            <v>550.27</v>
          </cell>
          <cell r="BE135">
            <v>1100.54</v>
          </cell>
          <cell r="BF135">
            <v>935.46</v>
          </cell>
          <cell r="BG135">
            <v>1568.27</v>
          </cell>
        </row>
        <row r="136">
          <cell r="C136" t="str">
            <v>MVP SG Bronze 2 HMO</v>
          </cell>
          <cell r="H136" t="str">
            <v>HDHP</v>
          </cell>
          <cell r="I136">
            <v>6000</v>
          </cell>
          <cell r="J136">
            <v>12000</v>
          </cell>
          <cell r="K136">
            <v>8400</v>
          </cell>
          <cell r="L136">
            <v>16800</v>
          </cell>
          <cell r="M136" t="str">
            <v>As noted below</v>
          </cell>
          <cell r="N136" t="str">
            <v>$0 Copay first 3 visits; $35 Copay thereafter, subject to deductible</v>
          </cell>
          <cell r="O136" t="str">
            <v>$60 Copay, subject to deductible</v>
          </cell>
          <cell r="P136" t="str">
            <v>$60 Copay, subject to deductible</v>
          </cell>
          <cell r="Q136" t="str">
            <v>Lab: $60 Copay/ X-Ray: $60 Copay; subject to deductible</v>
          </cell>
          <cell r="R136" t="str">
            <v>$350 Copay, subject to deductible</v>
          </cell>
          <cell r="S136" t="str">
            <v>$350 Copay, subject to deductible</v>
          </cell>
          <cell r="T136" t="str">
            <v>Covered at 70%, subject to deductible</v>
          </cell>
          <cell r="U136" t="str">
            <v>$300 Copay, subject to deductible</v>
          </cell>
          <cell r="V136" t="str">
            <v>Inpatient: Covered at 70%, subject to deductible</v>
          </cell>
          <cell r="W136" t="str">
            <v>$60 Copay, subject to deductible</v>
          </cell>
          <cell r="X136" t="str">
            <v>Covered at 70%, subject to deductible</v>
          </cell>
          <cell r="Y136" t="str">
            <v xml:space="preserve">$0 Copay first 3 visits; $35 Mental/$35 Chemical thereafter, subject to deductible </v>
          </cell>
          <cell r="Z136" t="str">
            <v>$60 Copay, subject to deductible</v>
          </cell>
          <cell r="AA136" t="str">
            <v>$60 Copay, subject to deductible</v>
          </cell>
          <cell r="AB136" t="str">
            <v>$60 Copay, subject to deductible</v>
          </cell>
          <cell r="AC136" t="str">
            <v>$60 Copay, subject to deductible, for up to 54 visits per condition/year combined therapies</v>
          </cell>
          <cell r="AD136" t="str">
            <v>Adult: $60 Copay (one exam per every other Plan Year)/ Pediatric: $60 Copay (one exam per 12-month period); subject to deductible</v>
          </cell>
          <cell r="AE136" t="str">
            <v>Pediatric: Covered at 50%, subject to deductible, for one purchase per year</v>
          </cell>
          <cell r="AF136" t="str">
            <v>Covered at 50%, subject to deductible</v>
          </cell>
          <cell r="AG136" t="str">
            <v>Subject to plan deductible</v>
          </cell>
          <cell r="AH136">
            <v>10</v>
          </cell>
          <cell r="AI136">
            <v>40</v>
          </cell>
          <cell r="AJ136">
            <v>60</v>
          </cell>
          <cell r="AK136" t="str">
            <v>Yes</v>
          </cell>
          <cell r="AL136" t="str">
            <v>Embedded</v>
          </cell>
          <cell r="AM136" t="str">
            <v>Covered in Full</v>
          </cell>
          <cell r="BD136">
            <v>422.59</v>
          </cell>
          <cell r="BE136">
            <v>845.18</v>
          </cell>
          <cell r="BF136">
            <v>718.4</v>
          </cell>
          <cell r="BG136">
            <v>1204.3800000000001</v>
          </cell>
        </row>
        <row r="137">
          <cell r="C137" t="str">
            <v>MVP SG Bronze 9 HMO</v>
          </cell>
          <cell r="H137" t="str">
            <v>HDHP</v>
          </cell>
          <cell r="I137">
            <v>6100</v>
          </cell>
          <cell r="J137">
            <v>12200</v>
          </cell>
          <cell r="K137">
            <v>6900</v>
          </cell>
          <cell r="L137">
            <v>13800</v>
          </cell>
          <cell r="M137" t="str">
            <v>As noted below</v>
          </cell>
          <cell r="N137" t="str">
            <v>Covered at 50%, subject to deductible</v>
          </cell>
          <cell r="O137" t="str">
            <v>Covered at 50%, subject to deductible</v>
          </cell>
          <cell r="P137" t="str">
            <v>Covered at 50%, subject to deductible</v>
          </cell>
          <cell r="Q137" t="str">
            <v>Covered at 50%, subject to deductible</v>
          </cell>
          <cell r="R137" t="str">
            <v>Covered at 50%, subject to deductible</v>
          </cell>
          <cell r="S137" t="str">
            <v>Covered at 50%, subject to deductible</v>
          </cell>
          <cell r="T137" t="str">
            <v>Covered at 50%, subject to deductible</v>
          </cell>
          <cell r="U137" t="str">
            <v>Covered at 50%, subject to deductible</v>
          </cell>
          <cell r="V137" t="str">
            <v>Covered at 50%, subject to deductible</v>
          </cell>
          <cell r="W137" t="str">
            <v>Covered at 50%, subject to deductible</v>
          </cell>
          <cell r="X137" t="str">
            <v>Covered at 50%, subject to deductible</v>
          </cell>
          <cell r="Y137" t="str">
            <v>Covered at 50%, subject to deductible</v>
          </cell>
          <cell r="Z137" t="str">
            <v>Covered at 50%, subject to deductible</v>
          </cell>
          <cell r="AA137" t="str">
            <v>Covered at 50%, subject to deductible</v>
          </cell>
          <cell r="AB137" t="str">
            <v>Covered at 50%, subject to deductible</v>
          </cell>
          <cell r="AC137" t="str">
            <v>Covered at 50%, subject to deductible, for up to 54 visits per condition/year combined therapies</v>
          </cell>
          <cell r="AD137" t="str">
            <v>Adult: Covered at 50% (one exam per every other Plan Year)/ Pediatric: Covered at 50% (one exam per 12-month period); subject to deductible</v>
          </cell>
          <cell r="AE137" t="str">
            <v>Pediatric: Covered at 50%, subject to deductible, for one purchase per year</v>
          </cell>
          <cell r="AF137" t="str">
            <v>Covered at 50%, subject to deductible</v>
          </cell>
          <cell r="AG137" t="str">
            <v>Subject to plan deductible (except preventive drugs)</v>
          </cell>
          <cell r="AH137">
            <v>10</v>
          </cell>
          <cell r="AI137">
            <v>35</v>
          </cell>
          <cell r="AJ137">
            <v>70</v>
          </cell>
          <cell r="AK137" t="str">
            <v>Yes</v>
          </cell>
          <cell r="AL137" t="str">
            <v>Embedded</v>
          </cell>
          <cell r="AM137" t="str">
            <v>Covered in Full</v>
          </cell>
          <cell r="BD137">
            <v>439.48</v>
          </cell>
          <cell r="BE137">
            <v>878.96</v>
          </cell>
          <cell r="BF137">
            <v>747.12</v>
          </cell>
          <cell r="BG137">
            <v>1252.52</v>
          </cell>
        </row>
        <row r="138">
          <cell r="C138" t="str">
            <v>MVP SG Bronze 10 HMO</v>
          </cell>
          <cell r="H138" t="str">
            <v>HDHP</v>
          </cell>
          <cell r="I138">
            <v>8300</v>
          </cell>
          <cell r="J138">
            <v>16600</v>
          </cell>
          <cell r="K138">
            <v>8300</v>
          </cell>
          <cell r="L138">
            <v>16600</v>
          </cell>
          <cell r="M138" t="str">
            <v>As noted below</v>
          </cell>
          <cell r="N138" t="str">
            <v>Covered at 100%, subject to deductible</v>
          </cell>
          <cell r="O138" t="str">
            <v>Covered at 100%, subject to deductible</v>
          </cell>
          <cell r="P138" t="str">
            <v>Covered at 100%, subject to deductible</v>
          </cell>
          <cell r="Q138" t="str">
            <v>Covered at 100%, subject to deductible</v>
          </cell>
          <cell r="R138" t="str">
            <v>Covered at 100%, subject to deductible</v>
          </cell>
          <cell r="S138" t="str">
            <v>Covered at 100%, subject to deductible</v>
          </cell>
          <cell r="T138" t="str">
            <v>Covered at 100%, subject to deductible</v>
          </cell>
          <cell r="U138" t="str">
            <v>Covered at 100%, subject to deductible</v>
          </cell>
          <cell r="V138" t="str">
            <v>Covered at 100%, subject to deductible</v>
          </cell>
          <cell r="W138" t="str">
            <v>Covered at 100%, subject to deductible</v>
          </cell>
          <cell r="X138" t="str">
            <v>Covered at 100%, subject to deductible</v>
          </cell>
          <cell r="Y138" t="str">
            <v>Covered at 100%, subject to deductible</v>
          </cell>
          <cell r="Z138" t="str">
            <v>Covered at 100%, subject to deductible</v>
          </cell>
          <cell r="AA138" t="str">
            <v>Covered at 100%, subject to deductible</v>
          </cell>
          <cell r="AB138" t="str">
            <v>Covered at 100%, subject to deductible</v>
          </cell>
          <cell r="AC138" t="str">
            <v xml:space="preserve">Covered at 100%, subject to deductible, for up to 54 visits per condition/year combined therapies </v>
          </cell>
          <cell r="AD138" t="str">
            <v>Adult: Covered at 100% (one exam per every other Plan Year)/ Pediatric: Covered at 100% (one exam per 12-month period); subject to deductible</v>
          </cell>
          <cell r="AE138" t="str">
            <v>Pediatric: Covered at 100%, subject to deductible, for one purchase per year</v>
          </cell>
          <cell r="AF138" t="str">
            <v>Covered at 100%, subject to deductible</v>
          </cell>
          <cell r="AG138" t="str">
            <v>Subject to plan deductible</v>
          </cell>
          <cell r="AH138">
            <v>0</v>
          </cell>
          <cell r="AI138">
            <v>0</v>
          </cell>
          <cell r="AJ138">
            <v>0</v>
          </cell>
          <cell r="AK138" t="str">
            <v>Yes</v>
          </cell>
          <cell r="AL138" t="str">
            <v>Embedded</v>
          </cell>
          <cell r="AM138" t="str">
            <v>Covered in Full</v>
          </cell>
          <cell r="BD138">
            <v>425.32</v>
          </cell>
          <cell r="BE138">
            <v>850.64</v>
          </cell>
          <cell r="BF138">
            <v>723.04</v>
          </cell>
          <cell r="BG138">
            <v>1212.1600000000001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workbookViewId="0"/>
  </sheetViews>
  <sheetFormatPr defaultRowHeight="15" x14ac:dyDescent="0.25"/>
  <cols>
    <col min="1" max="1" width="9.140625" customWidth="1"/>
    <col min="2" max="2" width="20.140625" customWidth="1"/>
    <col min="3" max="3" width="18.140625" customWidth="1"/>
    <col min="4" max="4" width="21.85546875" customWidth="1"/>
    <col min="5" max="5" width="26.140625" customWidth="1"/>
    <col min="6" max="6" width="21.140625" customWidth="1"/>
    <col min="7" max="7" width="21.85546875" customWidth="1"/>
  </cols>
  <sheetData>
    <row r="1" spans="1:8" x14ac:dyDescent="0.25">
      <c r="A1" s="1"/>
      <c r="B1" s="124" t="s">
        <v>238</v>
      </c>
      <c r="C1" s="125"/>
      <c r="D1" s="124" t="s">
        <v>239</v>
      </c>
      <c r="E1" s="125"/>
      <c r="F1" s="124" t="s">
        <v>240</v>
      </c>
      <c r="G1" s="126"/>
      <c r="H1" s="2"/>
    </row>
    <row r="2" spans="1:8" ht="14.25" customHeight="1" x14ac:dyDescent="0.25">
      <c r="A2" s="127" t="s">
        <v>22</v>
      </c>
      <c r="B2" s="122">
        <v>681.83</v>
      </c>
      <c r="C2" s="122"/>
      <c r="D2" s="133">
        <v>695.29</v>
      </c>
      <c r="E2" s="133"/>
      <c r="F2" s="122">
        <v>652.66999999999996</v>
      </c>
      <c r="G2" s="122"/>
      <c r="H2" s="2"/>
    </row>
    <row r="3" spans="1:8" ht="18" x14ac:dyDescent="0.25">
      <c r="A3" s="96" t="s">
        <v>23</v>
      </c>
      <c r="B3" s="118">
        <v>1363.65</v>
      </c>
      <c r="C3" s="119"/>
      <c r="D3" s="120">
        <v>1390.57</v>
      </c>
      <c r="E3" s="121"/>
      <c r="F3" s="118">
        <v>1305.33</v>
      </c>
      <c r="G3" s="122"/>
      <c r="H3" s="2"/>
    </row>
    <row r="4" spans="1:8" ht="18" x14ac:dyDescent="0.25">
      <c r="A4" s="96" t="s">
        <v>24</v>
      </c>
      <c r="B4" s="118">
        <v>1159.1099999999999</v>
      </c>
      <c r="C4" s="119"/>
      <c r="D4" s="120">
        <v>1181.99</v>
      </c>
      <c r="E4" s="121"/>
      <c r="F4" s="118">
        <v>1109.53</v>
      </c>
      <c r="G4" s="122"/>
      <c r="H4" s="2"/>
    </row>
    <row r="5" spans="1:8" x14ac:dyDescent="0.25">
      <c r="A5" s="96" t="s">
        <v>25</v>
      </c>
      <c r="B5" s="118">
        <v>1943.21</v>
      </c>
      <c r="C5" s="119"/>
      <c r="D5" s="120">
        <v>1981.57</v>
      </c>
      <c r="E5" s="121"/>
      <c r="F5" s="118">
        <v>1860.1</v>
      </c>
      <c r="G5" s="122"/>
      <c r="H5" s="2"/>
    </row>
    <row r="6" spans="1:8" ht="54" customHeight="1" x14ac:dyDescent="0.25">
      <c r="A6" s="96" t="s">
        <v>43</v>
      </c>
      <c r="B6" s="81" t="s">
        <v>246</v>
      </c>
      <c r="C6" s="82" t="s">
        <v>45</v>
      </c>
      <c r="D6" s="81" t="s">
        <v>44</v>
      </c>
      <c r="E6" s="82" t="s">
        <v>45</v>
      </c>
      <c r="F6" s="81" t="s">
        <v>45</v>
      </c>
      <c r="G6" s="89" t="s">
        <v>31</v>
      </c>
      <c r="H6" s="7"/>
    </row>
    <row r="7" spans="1:8" ht="18" x14ac:dyDescent="0.25">
      <c r="A7" s="96" t="s">
        <v>47</v>
      </c>
      <c r="B7" s="81" t="s">
        <v>247</v>
      </c>
      <c r="C7" s="82" t="s">
        <v>45</v>
      </c>
      <c r="D7" s="81" t="s">
        <v>248</v>
      </c>
      <c r="E7" s="82" t="s">
        <v>45</v>
      </c>
      <c r="F7" s="81" t="s">
        <v>45</v>
      </c>
      <c r="G7" s="89" t="s">
        <v>31</v>
      </c>
      <c r="H7" s="7"/>
    </row>
    <row r="8" spans="1:8" x14ac:dyDescent="0.25">
      <c r="A8" s="96" t="s">
        <v>50</v>
      </c>
      <c r="B8" s="81" t="s">
        <v>66</v>
      </c>
      <c r="C8" s="82" t="s">
        <v>51</v>
      </c>
      <c r="D8" s="81" t="s">
        <v>66</v>
      </c>
      <c r="E8" s="82" t="s">
        <v>51</v>
      </c>
      <c r="F8" s="81" t="s">
        <v>51</v>
      </c>
      <c r="G8" s="89" t="s">
        <v>52</v>
      </c>
      <c r="H8" s="7"/>
    </row>
    <row r="9" spans="1:8" ht="18" x14ac:dyDescent="0.25">
      <c r="A9" s="128" t="s">
        <v>54</v>
      </c>
      <c r="B9" s="113" t="s">
        <v>66</v>
      </c>
      <c r="C9" s="116" t="s">
        <v>56</v>
      </c>
      <c r="D9" s="113" t="s">
        <v>66</v>
      </c>
      <c r="E9" s="116" t="s">
        <v>56</v>
      </c>
      <c r="F9" s="81" t="s">
        <v>249</v>
      </c>
      <c r="G9" s="135" t="s">
        <v>56</v>
      </c>
      <c r="H9" s="138"/>
    </row>
    <row r="10" spans="1:8" x14ac:dyDescent="0.25">
      <c r="A10" s="128"/>
      <c r="B10" s="113"/>
      <c r="C10" s="116"/>
      <c r="D10" s="113"/>
      <c r="E10" s="116"/>
      <c r="F10" s="81" t="s">
        <v>250</v>
      </c>
      <c r="G10" s="135"/>
      <c r="H10" s="138"/>
    </row>
    <row r="11" spans="1:8" ht="18" x14ac:dyDescent="0.25">
      <c r="A11" s="96" t="s">
        <v>60</v>
      </c>
      <c r="B11" s="81" t="s">
        <v>251</v>
      </c>
      <c r="C11" s="82" t="s">
        <v>62</v>
      </c>
      <c r="D11" s="81" t="s">
        <v>252</v>
      </c>
      <c r="E11" s="82" t="s">
        <v>62</v>
      </c>
      <c r="F11" s="81" t="s">
        <v>253</v>
      </c>
      <c r="G11" s="89" t="s">
        <v>62</v>
      </c>
      <c r="H11" s="7"/>
    </row>
    <row r="12" spans="1:8" ht="18" x14ac:dyDescent="0.25">
      <c r="A12" s="96" t="s">
        <v>69</v>
      </c>
      <c r="B12" s="81" t="s">
        <v>70</v>
      </c>
      <c r="C12" s="82" t="s">
        <v>45</v>
      </c>
      <c r="D12" s="81" t="s">
        <v>70</v>
      </c>
      <c r="E12" s="82" t="s">
        <v>45</v>
      </c>
      <c r="F12" s="81" t="s">
        <v>70</v>
      </c>
      <c r="G12" s="89" t="s">
        <v>31</v>
      </c>
      <c r="H12" s="7"/>
    </row>
    <row r="13" spans="1:8" ht="27" x14ac:dyDescent="0.25">
      <c r="A13" s="96" t="s">
        <v>72</v>
      </c>
      <c r="B13" s="81" t="s">
        <v>70</v>
      </c>
      <c r="C13" s="82" t="s">
        <v>45</v>
      </c>
      <c r="D13" s="81" t="s">
        <v>70</v>
      </c>
      <c r="E13" s="82" t="s">
        <v>45</v>
      </c>
      <c r="F13" s="81" t="s">
        <v>70</v>
      </c>
      <c r="G13" s="89" t="s">
        <v>31</v>
      </c>
      <c r="H13" s="7"/>
    </row>
    <row r="14" spans="1:8" ht="18" x14ac:dyDescent="0.25">
      <c r="A14" s="96" t="s">
        <v>75</v>
      </c>
      <c r="B14" s="81" t="s">
        <v>70</v>
      </c>
      <c r="C14" s="82" t="s">
        <v>45</v>
      </c>
      <c r="D14" s="81" t="s">
        <v>70</v>
      </c>
      <c r="E14" s="82" t="s">
        <v>45</v>
      </c>
      <c r="F14" s="81" t="s">
        <v>70</v>
      </c>
      <c r="G14" s="89" t="s">
        <v>31</v>
      </c>
      <c r="H14" s="7"/>
    </row>
    <row r="15" spans="1:8" ht="27" x14ac:dyDescent="0.25">
      <c r="A15" s="127" t="s">
        <v>76</v>
      </c>
      <c r="B15" s="83" t="s">
        <v>70</v>
      </c>
      <c r="C15" s="89" t="s">
        <v>45</v>
      </c>
      <c r="D15" s="83" t="s">
        <v>70</v>
      </c>
      <c r="E15" s="89" t="s">
        <v>45</v>
      </c>
      <c r="F15" s="83" t="s">
        <v>70</v>
      </c>
      <c r="G15" s="89" t="s">
        <v>31</v>
      </c>
      <c r="H15" s="7"/>
    </row>
    <row r="16" spans="1:8" ht="36" x14ac:dyDescent="0.25">
      <c r="A16" s="96" t="s">
        <v>83</v>
      </c>
      <c r="B16" s="81" t="s">
        <v>70</v>
      </c>
      <c r="C16" s="82" t="s">
        <v>45</v>
      </c>
      <c r="D16" s="81" t="s">
        <v>70</v>
      </c>
      <c r="E16" s="82" t="s">
        <v>45</v>
      </c>
      <c r="F16" s="81" t="s">
        <v>84</v>
      </c>
      <c r="G16" s="89" t="s">
        <v>31</v>
      </c>
      <c r="H16" s="7"/>
    </row>
    <row r="17" spans="1:8" ht="18" x14ac:dyDescent="0.25">
      <c r="A17" s="96" t="s">
        <v>85</v>
      </c>
      <c r="B17" s="81" t="s">
        <v>247</v>
      </c>
      <c r="C17" s="82" t="s">
        <v>45</v>
      </c>
      <c r="D17" s="81" t="s">
        <v>248</v>
      </c>
      <c r="E17" s="82" t="s">
        <v>45</v>
      </c>
      <c r="F17" s="81" t="s">
        <v>45</v>
      </c>
      <c r="G17" s="89" t="s">
        <v>31</v>
      </c>
      <c r="H17" s="7"/>
    </row>
    <row r="18" spans="1:8" ht="27" x14ac:dyDescent="0.25">
      <c r="A18" s="96" t="s">
        <v>256</v>
      </c>
      <c r="B18" s="81" t="s">
        <v>247</v>
      </c>
      <c r="C18" s="82" t="s">
        <v>89</v>
      </c>
      <c r="D18" s="81" t="s">
        <v>44</v>
      </c>
      <c r="E18" s="82" t="s">
        <v>89</v>
      </c>
      <c r="F18" s="81" t="s">
        <v>89</v>
      </c>
      <c r="G18" s="89" t="s">
        <v>88</v>
      </c>
      <c r="H18" s="7"/>
    </row>
    <row r="19" spans="1:8" ht="27" customHeight="1" x14ac:dyDescent="0.25">
      <c r="A19" s="96" t="s">
        <v>98</v>
      </c>
      <c r="B19" s="81" t="s">
        <v>246</v>
      </c>
      <c r="C19" s="82" t="s">
        <v>45</v>
      </c>
      <c r="D19" s="81" t="s">
        <v>44</v>
      </c>
      <c r="E19" s="82" t="s">
        <v>45</v>
      </c>
      <c r="F19" s="81" t="s">
        <v>45</v>
      </c>
      <c r="G19" s="89" t="s">
        <v>31</v>
      </c>
      <c r="H19" s="7"/>
    </row>
    <row r="20" spans="1:8" ht="18" x14ac:dyDescent="0.25">
      <c r="A20" s="96" t="s">
        <v>100</v>
      </c>
      <c r="B20" s="81" t="s">
        <v>247</v>
      </c>
      <c r="C20" s="82" t="s">
        <v>45</v>
      </c>
      <c r="D20" s="81" t="s">
        <v>248</v>
      </c>
      <c r="E20" s="82" t="s">
        <v>45</v>
      </c>
      <c r="F20" s="81" t="s">
        <v>45</v>
      </c>
      <c r="G20" s="89" t="s">
        <v>31</v>
      </c>
      <c r="H20" s="7"/>
    </row>
    <row r="21" spans="1:8" ht="27" x14ac:dyDescent="0.25">
      <c r="A21" s="96" t="s">
        <v>103</v>
      </c>
      <c r="B21" s="81" t="s">
        <v>104</v>
      </c>
      <c r="C21" s="82" t="s">
        <v>258</v>
      </c>
      <c r="D21" s="81" t="s">
        <v>104</v>
      </c>
      <c r="E21" s="82" t="s">
        <v>258</v>
      </c>
      <c r="F21" s="81" t="s">
        <v>104</v>
      </c>
      <c r="G21" s="89" t="s">
        <v>31</v>
      </c>
      <c r="H21" s="7"/>
    </row>
    <row r="22" spans="1:8" ht="72" customHeight="1" x14ac:dyDescent="0.25">
      <c r="A22" s="96" t="s">
        <v>110</v>
      </c>
      <c r="B22" s="81" t="s">
        <v>262</v>
      </c>
      <c r="C22" s="82" t="s">
        <v>112</v>
      </c>
      <c r="D22" s="81" t="s">
        <v>263</v>
      </c>
      <c r="E22" s="82" t="s">
        <v>112</v>
      </c>
      <c r="F22" s="81" t="s">
        <v>264</v>
      </c>
      <c r="G22" s="89" t="s">
        <v>112</v>
      </c>
      <c r="H22" s="7"/>
    </row>
    <row r="23" spans="1:8" ht="14.25" customHeight="1" x14ac:dyDescent="0.25">
      <c r="A23" s="127" t="s">
        <v>131</v>
      </c>
      <c r="B23" s="83" t="s">
        <v>270</v>
      </c>
      <c r="C23" s="89" t="s">
        <v>270</v>
      </c>
      <c r="D23" s="83" t="s">
        <v>271</v>
      </c>
      <c r="E23" s="89" t="s">
        <v>271</v>
      </c>
      <c r="F23" s="83" t="s">
        <v>45</v>
      </c>
      <c r="G23" s="89" t="s">
        <v>45</v>
      </c>
      <c r="H23" s="7"/>
    </row>
    <row r="24" spans="1:8" ht="27" x14ac:dyDescent="0.25">
      <c r="A24" s="96" t="s">
        <v>134</v>
      </c>
      <c r="B24" s="9" t="s">
        <v>247</v>
      </c>
      <c r="C24" s="3" t="s">
        <v>45</v>
      </c>
      <c r="D24" s="9" t="s">
        <v>248</v>
      </c>
      <c r="E24" s="3" t="s">
        <v>45</v>
      </c>
      <c r="F24" s="9" t="s">
        <v>45</v>
      </c>
      <c r="G24" s="3" t="s">
        <v>31</v>
      </c>
      <c r="H24" s="7"/>
    </row>
    <row r="25" spans="1:8" ht="18" x14ac:dyDescent="0.25">
      <c r="A25" s="96" t="s">
        <v>135</v>
      </c>
      <c r="B25" s="9" t="s">
        <v>272</v>
      </c>
      <c r="C25" s="3" t="s">
        <v>272</v>
      </c>
      <c r="D25" s="9" t="s">
        <v>273</v>
      </c>
      <c r="E25" s="3" t="s">
        <v>273</v>
      </c>
      <c r="F25" s="9" t="s">
        <v>45</v>
      </c>
      <c r="G25" s="3" t="s">
        <v>45</v>
      </c>
      <c r="H25" s="7"/>
    </row>
    <row r="26" spans="1:8" ht="36" x14ac:dyDescent="0.25">
      <c r="A26" s="96" t="s">
        <v>94</v>
      </c>
      <c r="B26" s="9" t="s">
        <v>247</v>
      </c>
      <c r="C26" s="3" t="s">
        <v>45</v>
      </c>
      <c r="D26" s="9" t="s">
        <v>44</v>
      </c>
      <c r="E26" s="3" t="s">
        <v>45</v>
      </c>
      <c r="F26" s="9" t="s">
        <v>45</v>
      </c>
      <c r="G26" s="3" t="s">
        <v>31</v>
      </c>
      <c r="H26" s="7"/>
    </row>
    <row r="27" spans="1:8" ht="18" x14ac:dyDescent="0.25">
      <c r="A27" s="96" t="s">
        <v>141</v>
      </c>
      <c r="B27" s="9" t="s">
        <v>270</v>
      </c>
      <c r="C27" s="3" t="s">
        <v>45</v>
      </c>
      <c r="D27" s="9" t="s">
        <v>271</v>
      </c>
      <c r="E27" s="3" t="s">
        <v>45</v>
      </c>
      <c r="F27" s="9" t="s">
        <v>45</v>
      </c>
      <c r="G27" s="3" t="s">
        <v>31</v>
      </c>
      <c r="H27" s="7"/>
    </row>
    <row r="28" spans="1:8" ht="39" customHeight="1" x14ac:dyDescent="0.25">
      <c r="A28" s="99" t="s">
        <v>98</v>
      </c>
      <c r="B28" s="11" t="s">
        <v>246</v>
      </c>
      <c r="C28" s="10" t="s">
        <v>45</v>
      </c>
      <c r="D28" s="11" t="s">
        <v>44</v>
      </c>
      <c r="E28" s="10" t="s">
        <v>45</v>
      </c>
      <c r="F28" s="11" t="s">
        <v>45</v>
      </c>
      <c r="G28" s="10" t="s">
        <v>31</v>
      </c>
      <c r="H28" s="86"/>
    </row>
    <row r="29" spans="1:8" ht="18" x14ac:dyDescent="0.25">
      <c r="A29" s="98" t="s">
        <v>143</v>
      </c>
      <c r="B29" s="12" t="s">
        <v>247</v>
      </c>
      <c r="C29" s="15" t="s">
        <v>45</v>
      </c>
      <c r="D29" s="12" t="s">
        <v>248</v>
      </c>
      <c r="E29" s="15" t="s">
        <v>45</v>
      </c>
      <c r="F29" s="12" t="s">
        <v>45</v>
      </c>
      <c r="G29" s="15" t="s">
        <v>31</v>
      </c>
      <c r="H29" s="86"/>
    </row>
    <row r="30" spans="1:8" ht="36" x14ac:dyDescent="0.25">
      <c r="A30" s="96" t="s">
        <v>145</v>
      </c>
      <c r="B30" s="9" t="s">
        <v>266</v>
      </c>
      <c r="C30" s="3" t="s">
        <v>267</v>
      </c>
      <c r="D30" s="9" t="s">
        <v>266</v>
      </c>
      <c r="E30" s="3" t="s">
        <v>267</v>
      </c>
      <c r="F30" s="9" t="s">
        <v>146</v>
      </c>
      <c r="G30" s="3" t="s">
        <v>120</v>
      </c>
      <c r="H30" s="7"/>
    </row>
    <row r="31" spans="1:8" ht="27" x14ac:dyDescent="0.25">
      <c r="A31" s="96" t="s">
        <v>147</v>
      </c>
      <c r="B31" s="9" t="s">
        <v>274</v>
      </c>
      <c r="C31" s="3" t="s">
        <v>45</v>
      </c>
      <c r="D31" s="9" t="s">
        <v>148</v>
      </c>
      <c r="E31" s="3" t="s">
        <v>45</v>
      </c>
      <c r="F31" s="9" t="s">
        <v>45</v>
      </c>
      <c r="G31" s="3" t="s">
        <v>31</v>
      </c>
      <c r="H31" s="7"/>
    </row>
    <row r="32" spans="1:8" ht="36" x14ac:dyDescent="0.25">
      <c r="A32" s="127" t="s">
        <v>149</v>
      </c>
      <c r="B32" s="83" t="s">
        <v>266</v>
      </c>
      <c r="C32" s="89" t="s">
        <v>267</v>
      </c>
      <c r="D32" s="83" t="s">
        <v>266</v>
      </c>
      <c r="E32" s="89" t="s">
        <v>267</v>
      </c>
      <c r="F32" s="83" t="s">
        <v>146</v>
      </c>
      <c r="G32" s="89" t="s">
        <v>120</v>
      </c>
      <c r="H32" s="7"/>
    </row>
    <row r="33" spans="1:8" ht="27" x14ac:dyDescent="0.25">
      <c r="A33" s="96" t="s">
        <v>150</v>
      </c>
      <c r="B33" s="9" t="s">
        <v>274</v>
      </c>
      <c r="C33" s="3" t="s">
        <v>45</v>
      </c>
      <c r="D33" s="9" t="s">
        <v>148</v>
      </c>
      <c r="E33" s="3" t="s">
        <v>45</v>
      </c>
      <c r="F33" s="9" t="s">
        <v>45</v>
      </c>
      <c r="G33" s="3" t="s">
        <v>31</v>
      </c>
      <c r="H33" s="7"/>
    </row>
    <row r="34" spans="1:8" ht="27" x14ac:dyDescent="0.25">
      <c r="A34" s="96" t="s">
        <v>181</v>
      </c>
      <c r="B34" s="9" t="s">
        <v>182</v>
      </c>
      <c r="C34" s="3" t="s">
        <v>191</v>
      </c>
      <c r="D34" s="9" t="s">
        <v>182</v>
      </c>
      <c r="E34" s="3" t="s">
        <v>191</v>
      </c>
      <c r="F34" s="9" t="s">
        <v>184</v>
      </c>
      <c r="G34" s="3" t="s">
        <v>183</v>
      </c>
      <c r="H34" s="4"/>
    </row>
    <row r="35" spans="1:8" ht="18" x14ac:dyDescent="0.25">
      <c r="A35" s="128" t="s">
        <v>186</v>
      </c>
      <c r="B35" s="9" t="s">
        <v>187</v>
      </c>
      <c r="C35" s="3" t="s">
        <v>187</v>
      </c>
      <c r="D35" s="9" t="s">
        <v>187</v>
      </c>
      <c r="E35" s="3" t="s">
        <v>187</v>
      </c>
      <c r="F35" s="9" t="s">
        <v>187</v>
      </c>
      <c r="G35" s="3" t="s">
        <v>187</v>
      </c>
      <c r="H35" s="139"/>
    </row>
    <row r="36" spans="1:8" x14ac:dyDescent="0.25">
      <c r="A36" s="128"/>
      <c r="B36" s="9" t="s">
        <v>188</v>
      </c>
      <c r="C36" s="3" t="s">
        <v>188</v>
      </c>
      <c r="D36" s="9" t="s">
        <v>188</v>
      </c>
      <c r="E36" s="3" t="s">
        <v>188</v>
      </c>
      <c r="F36" s="9" t="s">
        <v>188</v>
      </c>
      <c r="G36" s="3" t="s">
        <v>188</v>
      </c>
      <c r="H36" s="139"/>
    </row>
    <row r="37" spans="1:8" ht="63" x14ac:dyDescent="0.25">
      <c r="A37" s="128" t="s">
        <v>196</v>
      </c>
      <c r="B37" s="132" t="s">
        <v>292</v>
      </c>
      <c r="C37" s="3" t="s">
        <v>293</v>
      </c>
      <c r="D37" s="132" t="s">
        <v>292</v>
      </c>
      <c r="E37" s="3" t="s">
        <v>293</v>
      </c>
      <c r="F37" s="132" t="s">
        <v>200</v>
      </c>
      <c r="G37" s="134" t="s">
        <v>201</v>
      </c>
      <c r="H37" s="136"/>
    </row>
    <row r="38" spans="1:8" ht="36" x14ac:dyDescent="0.25">
      <c r="A38" s="128"/>
      <c r="B38" s="132"/>
      <c r="C38" s="3" t="s">
        <v>294</v>
      </c>
      <c r="D38" s="132"/>
      <c r="E38" s="3" t="s">
        <v>294</v>
      </c>
      <c r="F38" s="132"/>
      <c r="G38" s="134"/>
      <c r="H38" s="136"/>
    </row>
    <row r="39" spans="1:8" ht="18" x14ac:dyDescent="0.25">
      <c r="A39" s="129" t="s">
        <v>3</v>
      </c>
      <c r="B39" s="129"/>
      <c r="C39" s="129"/>
      <c r="D39" s="129"/>
      <c r="E39" s="129"/>
      <c r="F39" s="129"/>
      <c r="G39" s="129"/>
      <c r="H39" s="2"/>
    </row>
    <row r="40" spans="1:8" x14ac:dyDescent="0.25">
      <c r="A40" s="3" t="s">
        <v>4</v>
      </c>
      <c r="B40" s="132" t="s">
        <v>241</v>
      </c>
      <c r="C40" s="132"/>
      <c r="D40" s="134" t="s">
        <v>242</v>
      </c>
      <c r="E40" s="134"/>
      <c r="F40" s="132" t="s">
        <v>243</v>
      </c>
      <c r="G40" s="132"/>
      <c r="H40" s="2"/>
    </row>
    <row r="41" spans="1:8" x14ac:dyDescent="0.25">
      <c r="A41" s="3" t="s">
        <v>5</v>
      </c>
      <c r="B41" s="132" t="s">
        <v>238</v>
      </c>
      <c r="C41" s="132"/>
      <c r="D41" s="134" t="s">
        <v>239</v>
      </c>
      <c r="E41" s="134"/>
      <c r="F41" s="132" t="s">
        <v>240</v>
      </c>
      <c r="G41" s="132"/>
      <c r="H41" s="2"/>
    </row>
    <row r="42" spans="1:8" ht="18" x14ac:dyDescent="0.25">
      <c r="A42" s="3" t="s">
        <v>6</v>
      </c>
      <c r="B42" s="132" t="s">
        <v>7</v>
      </c>
      <c r="C42" s="132"/>
      <c r="D42" s="134" t="s">
        <v>7</v>
      </c>
      <c r="E42" s="134"/>
      <c r="F42" s="132" t="s">
        <v>8</v>
      </c>
      <c r="G42" s="132"/>
      <c r="H42" s="2"/>
    </row>
    <row r="43" spans="1:8" ht="54" x14ac:dyDescent="0.25">
      <c r="A43" s="3" t="s">
        <v>9</v>
      </c>
      <c r="B43" s="132" t="s">
        <v>244</v>
      </c>
      <c r="C43" s="132"/>
      <c r="D43" s="134" t="s">
        <v>244</v>
      </c>
      <c r="E43" s="134"/>
      <c r="F43" s="132" t="s">
        <v>11</v>
      </c>
      <c r="G43" s="132"/>
      <c r="H43" s="4"/>
    </row>
    <row r="44" spans="1:8" x14ac:dyDescent="0.25">
      <c r="A44" s="3" t="s">
        <v>12</v>
      </c>
      <c r="B44" s="132" t="s">
        <v>245</v>
      </c>
      <c r="C44" s="132"/>
      <c r="D44" s="134" t="s">
        <v>245</v>
      </c>
      <c r="E44" s="134"/>
      <c r="F44" s="132" t="s">
        <v>14</v>
      </c>
      <c r="G44" s="132"/>
      <c r="H44" s="2"/>
    </row>
    <row r="45" spans="1:8" x14ac:dyDescent="0.25">
      <c r="A45" s="3" t="s">
        <v>15</v>
      </c>
      <c r="B45" s="132" t="s">
        <v>16</v>
      </c>
      <c r="C45" s="132"/>
      <c r="D45" s="134" t="s">
        <v>16</v>
      </c>
      <c r="E45" s="134"/>
      <c r="F45" s="132" t="s">
        <v>17</v>
      </c>
      <c r="G45" s="132"/>
      <c r="H45" s="2"/>
    </row>
    <row r="46" spans="1:8" ht="18" x14ac:dyDescent="0.25">
      <c r="A46" s="3" t="s">
        <v>18</v>
      </c>
      <c r="B46" s="132" t="s">
        <v>19</v>
      </c>
      <c r="C46" s="132"/>
      <c r="D46" s="134" t="s">
        <v>19</v>
      </c>
      <c r="E46" s="134"/>
      <c r="F46" s="132" t="s">
        <v>19</v>
      </c>
      <c r="G46" s="132"/>
      <c r="H46" s="2"/>
    </row>
    <row r="47" spans="1:8" x14ac:dyDescent="0.25">
      <c r="A47" s="5" t="s">
        <v>20</v>
      </c>
      <c r="B47" s="129" t="s">
        <v>21</v>
      </c>
      <c r="C47" s="129"/>
      <c r="D47" s="129" t="s">
        <v>21</v>
      </c>
      <c r="E47" s="129"/>
      <c r="F47" s="129" t="s">
        <v>21</v>
      </c>
      <c r="G47" s="129"/>
      <c r="H47" s="2"/>
    </row>
    <row r="48" spans="1:8" ht="18" x14ac:dyDescent="0.25">
      <c r="A48" s="131" t="s">
        <v>26</v>
      </c>
      <c r="B48" s="131"/>
      <c r="C48" s="131"/>
      <c r="D48" s="131"/>
      <c r="E48" s="131"/>
      <c r="F48" s="131"/>
      <c r="G48" s="131"/>
      <c r="H48" s="2"/>
    </row>
    <row r="49" spans="1:8" ht="27" x14ac:dyDescent="0.25">
      <c r="A49" s="3" t="s">
        <v>27</v>
      </c>
      <c r="B49" s="132" t="s">
        <v>28</v>
      </c>
      <c r="C49" s="132"/>
      <c r="D49" s="134" t="s">
        <v>28</v>
      </c>
      <c r="E49" s="134"/>
      <c r="F49" s="132" t="s">
        <v>28</v>
      </c>
      <c r="G49" s="132"/>
      <c r="H49" s="6"/>
    </row>
    <row r="50" spans="1:8" x14ac:dyDescent="0.25">
      <c r="A50" s="3" t="s">
        <v>29</v>
      </c>
      <c r="B50" s="132" t="s">
        <v>28</v>
      </c>
      <c r="C50" s="132"/>
      <c r="D50" s="134" t="s">
        <v>28</v>
      </c>
      <c r="E50" s="134"/>
      <c r="F50" s="132" t="s">
        <v>28</v>
      </c>
      <c r="G50" s="132"/>
      <c r="H50" s="2"/>
    </row>
    <row r="51" spans="1:8" ht="27" x14ac:dyDescent="0.25">
      <c r="A51" s="3" t="s">
        <v>30</v>
      </c>
      <c r="B51" s="132" t="s">
        <v>45</v>
      </c>
      <c r="C51" s="132"/>
      <c r="D51" s="134" t="s">
        <v>45</v>
      </c>
      <c r="E51" s="134"/>
      <c r="F51" s="132" t="s">
        <v>31</v>
      </c>
      <c r="G51" s="132"/>
      <c r="H51" s="2"/>
    </row>
    <row r="52" spans="1:8" ht="18" x14ac:dyDescent="0.25">
      <c r="A52" s="3" t="s">
        <v>32</v>
      </c>
      <c r="B52" s="132" t="s">
        <v>33</v>
      </c>
      <c r="C52" s="132"/>
      <c r="D52" s="134" t="s">
        <v>33</v>
      </c>
      <c r="E52" s="134"/>
      <c r="F52" s="132" t="s">
        <v>33</v>
      </c>
      <c r="G52" s="132"/>
      <c r="H52" s="2"/>
    </row>
    <row r="53" spans="1:8" ht="27" x14ac:dyDescent="0.25">
      <c r="A53" s="3" t="s">
        <v>34</v>
      </c>
      <c r="B53" s="132" t="s">
        <v>35</v>
      </c>
      <c r="C53" s="132"/>
      <c r="D53" s="134" t="s">
        <v>35</v>
      </c>
      <c r="E53" s="134"/>
      <c r="F53" s="132" t="s">
        <v>35</v>
      </c>
      <c r="G53" s="132"/>
      <c r="H53" s="6"/>
    </row>
    <row r="54" spans="1:8" ht="18" x14ac:dyDescent="0.25">
      <c r="A54" s="3" t="s">
        <v>36</v>
      </c>
      <c r="B54" s="132" t="s">
        <v>37</v>
      </c>
      <c r="C54" s="132"/>
      <c r="D54" s="134" t="s">
        <v>37</v>
      </c>
      <c r="E54" s="134"/>
      <c r="F54" s="132" t="s">
        <v>37</v>
      </c>
      <c r="G54" s="132"/>
      <c r="H54" s="2"/>
    </row>
    <row r="55" spans="1:8" ht="72" x14ac:dyDescent="0.25">
      <c r="A55" s="3" t="s">
        <v>38</v>
      </c>
      <c r="B55" s="132" t="s">
        <v>39</v>
      </c>
      <c r="C55" s="132"/>
      <c r="D55" s="134" t="s">
        <v>39</v>
      </c>
      <c r="E55" s="134"/>
      <c r="F55" s="132" t="s">
        <v>39</v>
      </c>
      <c r="G55" s="132"/>
      <c r="H55" s="4"/>
    </row>
    <row r="56" spans="1:8" ht="27" x14ac:dyDescent="0.25">
      <c r="A56" s="129" t="s">
        <v>40</v>
      </c>
      <c r="B56" s="129"/>
      <c r="C56" s="129"/>
      <c r="D56" s="129"/>
      <c r="E56" s="129"/>
      <c r="F56" s="129"/>
      <c r="G56" s="129"/>
      <c r="H56" s="6"/>
    </row>
    <row r="57" spans="1:8" ht="27" x14ac:dyDescent="0.25">
      <c r="A57" s="8" t="s">
        <v>40</v>
      </c>
      <c r="B57" s="8" t="s">
        <v>41</v>
      </c>
      <c r="C57" s="8" t="s">
        <v>42</v>
      </c>
      <c r="D57" s="8" t="s">
        <v>41</v>
      </c>
      <c r="E57" s="8" t="s">
        <v>42</v>
      </c>
      <c r="F57" s="8" t="s">
        <v>41</v>
      </c>
      <c r="G57" s="8" t="s">
        <v>42</v>
      </c>
      <c r="H57" s="7"/>
    </row>
    <row r="58" spans="1:8" ht="18" x14ac:dyDescent="0.25">
      <c r="A58" s="3" t="s">
        <v>65</v>
      </c>
      <c r="B58" s="9" t="s">
        <v>66</v>
      </c>
      <c r="C58" s="3" t="s">
        <v>66</v>
      </c>
      <c r="D58" s="9" t="s">
        <v>66</v>
      </c>
      <c r="E58" s="3" t="s">
        <v>66</v>
      </c>
      <c r="F58" s="9" t="s">
        <v>66</v>
      </c>
      <c r="G58" s="3" t="s">
        <v>66</v>
      </c>
      <c r="H58" s="7"/>
    </row>
    <row r="59" spans="1:8" ht="18" x14ac:dyDescent="0.25">
      <c r="A59" s="129" t="s">
        <v>67</v>
      </c>
      <c r="B59" s="129"/>
      <c r="C59" s="129"/>
      <c r="D59" s="129"/>
      <c r="E59" s="129"/>
      <c r="F59" s="129"/>
      <c r="G59" s="129"/>
      <c r="H59" s="7"/>
    </row>
    <row r="60" spans="1:8" ht="27" x14ac:dyDescent="0.25">
      <c r="A60" s="8" t="s">
        <v>68</v>
      </c>
      <c r="B60" s="8" t="s">
        <v>41</v>
      </c>
      <c r="C60" s="8" t="s">
        <v>42</v>
      </c>
      <c r="D60" s="8" t="s">
        <v>41</v>
      </c>
      <c r="E60" s="8" t="s">
        <v>42</v>
      </c>
      <c r="F60" s="8" t="s">
        <v>41</v>
      </c>
      <c r="G60" s="8" t="s">
        <v>42</v>
      </c>
      <c r="H60" s="7"/>
    </row>
    <row r="61" spans="1:8" ht="27" x14ac:dyDescent="0.25">
      <c r="A61" s="3" t="s">
        <v>71</v>
      </c>
      <c r="B61" s="9" t="s">
        <v>70</v>
      </c>
      <c r="C61" s="3" t="s">
        <v>45</v>
      </c>
      <c r="D61" s="9" t="s">
        <v>70</v>
      </c>
      <c r="E61" s="3" t="s">
        <v>45</v>
      </c>
      <c r="F61" s="9" t="s">
        <v>70</v>
      </c>
      <c r="G61" s="3" t="s">
        <v>31</v>
      </c>
      <c r="H61" s="7"/>
    </row>
    <row r="62" spans="1:8" ht="18" x14ac:dyDescent="0.25">
      <c r="A62" s="3" t="s">
        <v>73</v>
      </c>
      <c r="B62" s="9" t="s">
        <v>70</v>
      </c>
      <c r="C62" s="3" t="s">
        <v>45</v>
      </c>
      <c r="D62" s="9" t="s">
        <v>70</v>
      </c>
      <c r="E62" s="3" t="s">
        <v>45</v>
      </c>
      <c r="F62" s="9" t="s">
        <v>70</v>
      </c>
      <c r="G62" s="3" t="s">
        <v>31</v>
      </c>
      <c r="H62" s="7"/>
    </row>
    <row r="63" spans="1:8" ht="18" x14ac:dyDescent="0.25">
      <c r="A63" s="3" t="s">
        <v>74</v>
      </c>
      <c r="B63" s="9" t="s">
        <v>70</v>
      </c>
      <c r="C63" s="3" t="s">
        <v>45</v>
      </c>
      <c r="D63" s="9" t="s">
        <v>70</v>
      </c>
      <c r="E63" s="3" t="s">
        <v>45</v>
      </c>
      <c r="F63" s="9" t="s">
        <v>70</v>
      </c>
      <c r="G63" s="3" t="s">
        <v>31</v>
      </c>
      <c r="H63" s="7"/>
    </row>
    <row r="64" spans="1:8" ht="18" x14ac:dyDescent="0.25">
      <c r="A64" s="3" t="s">
        <v>77</v>
      </c>
      <c r="B64" s="9" t="s">
        <v>78</v>
      </c>
      <c r="C64" s="3" t="s">
        <v>45</v>
      </c>
      <c r="D64" s="9" t="s">
        <v>78</v>
      </c>
      <c r="E64" s="3" t="s">
        <v>45</v>
      </c>
      <c r="F64" s="9" t="s">
        <v>78</v>
      </c>
      <c r="G64" s="3" t="s">
        <v>31</v>
      </c>
      <c r="H64" s="7"/>
    </row>
    <row r="65" spans="1:8" ht="27" x14ac:dyDescent="0.25">
      <c r="A65" s="3" t="s">
        <v>79</v>
      </c>
      <c r="B65" s="9" t="s">
        <v>70</v>
      </c>
      <c r="C65" s="3" t="s">
        <v>45</v>
      </c>
      <c r="D65" s="9" t="s">
        <v>70</v>
      </c>
      <c r="E65" s="3" t="s">
        <v>45</v>
      </c>
      <c r="F65" s="9" t="s">
        <v>70</v>
      </c>
      <c r="G65" s="3" t="s">
        <v>31</v>
      </c>
      <c r="H65" s="7"/>
    </row>
    <row r="66" spans="1:8" ht="27" x14ac:dyDescent="0.25">
      <c r="A66" s="8" t="s">
        <v>80</v>
      </c>
      <c r="B66" s="8" t="s">
        <v>41</v>
      </c>
      <c r="C66" s="8" t="s">
        <v>42</v>
      </c>
      <c r="D66" s="8" t="s">
        <v>41</v>
      </c>
      <c r="E66" s="8" t="s">
        <v>42</v>
      </c>
      <c r="F66" s="8" t="s">
        <v>41</v>
      </c>
      <c r="G66" s="8" t="s">
        <v>42</v>
      </c>
      <c r="H66" s="7"/>
    </row>
    <row r="67" spans="1:8" ht="18" x14ac:dyDescent="0.25">
      <c r="A67" s="3" t="s">
        <v>81</v>
      </c>
      <c r="B67" s="9" t="s">
        <v>254</v>
      </c>
      <c r="C67" s="3" t="s">
        <v>45</v>
      </c>
      <c r="D67" s="9" t="s">
        <v>255</v>
      </c>
      <c r="E67" s="3" t="s">
        <v>45</v>
      </c>
      <c r="F67" s="9" t="s">
        <v>45</v>
      </c>
      <c r="G67" s="3" t="s">
        <v>31</v>
      </c>
      <c r="H67" s="7"/>
    </row>
    <row r="68" spans="1:8" ht="27" x14ac:dyDescent="0.25">
      <c r="A68" s="17" t="s">
        <v>138</v>
      </c>
      <c r="B68" s="9" t="s">
        <v>87</v>
      </c>
      <c r="C68" s="17" t="s">
        <v>45</v>
      </c>
      <c r="D68" s="9" t="s">
        <v>87</v>
      </c>
      <c r="E68" s="17" t="s">
        <v>45</v>
      </c>
      <c r="F68" s="9" t="s">
        <v>45</v>
      </c>
      <c r="G68" s="17" t="s">
        <v>31</v>
      </c>
      <c r="H68" s="7"/>
    </row>
    <row r="69" spans="1:8" x14ac:dyDescent="0.25">
      <c r="A69" s="3" t="s">
        <v>257</v>
      </c>
      <c r="B69" s="13"/>
      <c r="C69" s="3" t="s">
        <v>92</v>
      </c>
      <c r="D69" s="13"/>
      <c r="E69" s="3" t="s">
        <v>92</v>
      </c>
      <c r="F69" s="9" t="s">
        <v>92</v>
      </c>
      <c r="G69" s="3" t="s">
        <v>92</v>
      </c>
      <c r="H69" s="7"/>
    </row>
    <row r="70" spans="1:8" ht="18" x14ac:dyDescent="0.25">
      <c r="A70" s="3" t="s">
        <v>95</v>
      </c>
      <c r="B70" s="9" t="s">
        <v>254</v>
      </c>
      <c r="C70" s="3" t="s">
        <v>45</v>
      </c>
      <c r="D70" s="9" t="s">
        <v>255</v>
      </c>
      <c r="E70" s="3" t="s">
        <v>45</v>
      </c>
      <c r="F70" s="9" t="s">
        <v>45</v>
      </c>
      <c r="G70" s="3" t="s">
        <v>31</v>
      </c>
      <c r="H70" s="7"/>
    </row>
    <row r="71" spans="1:8" ht="18" x14ac:dyDescent="0.25">
      <c r="A71" s="3" t="s">
        <v>97</v>
      </c>
      <c r="B71" s="9" t="s">
        <v>254</v>
      </c>
      <c r="C71" s="3" t="s">
        <v>45</v>
      </c>
      <c r="D71" s="9" t="s">
        <v>255</v>
      </c>
      <c r="E71" s="3" t="s">
        <v>45</v>
      </c>
      <c r="F71" s="9" t="s">
        <v>45</v>
      </c>
      <c r="G71" s="3" t="s">
        <v>31</v>
      </c>
      <c r="H71" s="7"/>
    </row>
    <row r="72" spans="1:8" ht="18" x14ac:dyDescent="0.25">
      <c r="A72" s="8" t="s">
        <v>102</v>
      </c>
      <c r="B72" s="8" t="s">
        <v>41</v>
      </c>
      <c r="C72" s="8" t="s">
        <v>42</v>
      </c>
      <c r="D72" s="8" t="s">
        <v>41</v>
      </c>
      <c r="E72" s="8" t="s">
        <v>42</v>
      </c>
      <c r="F72" s="8" t="s">
        <v>41</v>
      </c>
      <c r="G72" s="8" t="s">
        <v>42</v>
      </c>
      <c r="H72" s="7"/>
    </row>
    <row r="73" spans="1:8" ht="36" x14ac:dyDescent="0.25">
      <c r="A73" s="3" t="s">
        <v>105</v>
      </c>
      <c r="B73" s="9" t="s">
        <v>259</v>
      </c>
      <c r="C73" s="3" t="s">
        <v>260</v>
      </c>
      <c r="D73" s="9" t="s">
        <v>259</v>
      </c>
      <c r="E73" s="3" t="s">
        <v>260</v>
      </c>
      <c r="F73" s="9" t="s">
        <v>45</v>
      </c>
      <c r="G73" s="3" t="s">
        <v>31</v>
      </c>
      <c r="H73" s="7"/>
    </row>
    <row r="74" spans="1:8" ht="27" x14ac:dyDescent="0.25">
      <c r="A74" s="3" t="s">
        <v>108</v>
      </c>
      <c r="B74" s="9" t="s">
        <v>70</v>
      </c>
      <c r="C74" s="3" t="s">
        <v>261</v>
      </c>
      <c r="D74" s="9" t="s">
        <v>70</v>
      </c>
      <c r="E74" s="3" t="s">
        <v>261</v>
      </c>
      <c r="F74" s="9" t="s">
        <v>45</v>
      </c>
      <c r="G74" s="3" t="s">
        <v>31</v>
      </c>
      <c r="H74" s="7"/>
    </row>
    <row r="75" spans="1:8" ht="18" x14ac:dyDescent="0.25">
      <c r="A75" s="8" t="s">
        <v>109</v>
      </c>
      <c r="B75" s="8" t="s">
        <v>41</v>
      </c>
      <c r="C75" s="8" t="s">
        <v>42</v>
      </c>
      <c r="D75" s="8" t="s">
        <v>41</v>
      </c>
      <c r="E75" s="8" t="s">
        <v>42</v>
      </c>
      <c r="F75" s="8" t="s">
        <v>41</v>
      </c>
      <c r="G75" s="8" t="s">
        <v>42</v>
      </c>
      <c r="H75" s="7"/>
    </row>
    <row r="76" spans="1:8" ht="27" x14ac:dyDescent="0.25">
      <c r="A76" s="3" t="s">
        <v>114</v>
      </c>
      <c r="B76" s="9" t="s">
        <v>265</v>
      </c>
      <c r="C76" s="3" t="s">
        <v>45</v>
      </c>
      <c r="D76" s="9" t="s">
        <v>115</v>
      </c>
      <c r="E76" s="3" t="s">
        <v>45</v>
      </c>
      <c r="F76" s="9" t="s">
        <v>45</v>
      </c>
      <c r="G76" s="3" t="s">
        <v>31</v>
      </c>
      <c r="H76" s="7"/>
    </row>
    <row r="77" spans="1:8" ht="27" x14ac:dyDescent="0.25">
      <c r="A77" s="8" t="s">
        <v>117</v>
      </c>
      <c r="B77" s="8" t="s">
        <v>41</v>
      </c>
      <c r="C77" s="8" t="s">
        <v>42</v>
      </c>
      <c r="D77" s="8" t="s">
        <v>41</v>
      </c>
      <c r="E77" s="8" t="s">
        <v>42</v>
      </c>
      <c r="F77" s="8" t="s">
        <v>41</v>
      </c>
      <c r="G77" s="8" t="s">
        <v>42</v>
      </c>
      <c r="H77" s="7"/>
    </row>
    <row r="78" spans="1:8" ht="36" x14ac:dyDescent="0.25">
      <c r="A78" s="3" t="s">
        <v>118</v>
      </c>
      <c r="B78" s="9" t="s">
        <v>266</v>
      </c>
      <c r="C78" s="3" t="s">
        <v>267</v>
      </c>
      <c r="D78" s="9" t="s">
        <v>266</v>
      </c>
      <c r="E78" s="3" t="s">
        <v>267</v>
      </c>
      <c r="F78" s="9" t="s">
        <v>119</v>
      </c>
      <c r="G78" s="3" t="s">
        <v>120</v>
      </c>
      <c r="H78" s="7"/>
    </row>
    <row r="79" spans="1:8" ht="27" x14ac:dyDescent="0.25">
      <c r="A79" s="3" t="s">
        <v>122</v>
      </c>
      <c r="B79" s="9" t="s">
        <v>70</v>
      </c>
      <c r="C79" s="3" t="s">
        <v>258</v>
      </c>
      <c r="D79" s="9" t="s">
        <v>70</v>
      </c>
      <c r="E79" s="3" t="s">
        <v>258</v>
      </c>
      <c r="F79" s="9" t="s">
        <v>45</v>
      </c>
      <c r="G79" s="3" t="s">
        <v>31</v>
      </c>
      <c r="H79" s="7"/>
    </row>
    <row r="80" spans="1:8" ht="36" x14ac:dyDescent="0.25">
      <c r="A80" s="3" t="s">
        <v>123</v>
      </c>
      <c r="B80" s="9" t="s">
        <v>268</v>
      </c>
      <c r="C80" s="3" t="s">
        <v>269</v>
      </c>
      <c r="D80" s="9" t="s">
        <v>268</v>
      </c>
      <c r="E80" s="3" t="s">
        <v>269</v>
      </c>
      <c r="F80" s="9" t="s">
        <v>124</v>
      </c>
      <c r="G80" s="3" t="s">
        <v>125</v>
      </c>
      <c r="H80" s="7"/>
    </row>
    <row r="81" spans="1:8" ht="18" x14ac:dyDescent="0.25">
      <c r="A81" s="3" t="s">
        <v>128</v>
      </c>
      <c r="B81" s="9" t="s">
        <v>70</v>
      </c>
      <c r="C81" s="3" t="s">
        <v>258</v>
      </c>
      <c r="D81" s="9" t="s">
        <v>70</v>
      </c>
      <c r="E81" s="3" t="s">
        <v>258</v>
      </c>
      <c r="F81" s="9" t="s">
        <v>45</v>
      </c>
      <c r="G81" s="3" t="s">
        <v>31</v>
      </c>
      <c r="H81" s="7"/>
    </row>
    <row r="82" spans="1:8" ht="18" x14ac:dyDescent="0.25">
      <c r="A82" s="3" t="s">
        <v>129</v>
      </c>
      <c r="B82" s="9" t="s">
        <v>70</v>
      </c>
      <c r="C82" s="3" t="s">
        <v>45</v>
      </c>
      <c r="D82" s="9" t="s">
        <v>70</v>
      </c>
      <c r="E82" s="3" t="s">
        <v>45</v>
      </c>
      <c r="F82" s="9" t="s">
        <v>45</v>
      </c>
      <c r="G82" s="3" t="s">
        <v>31</v>
      </c>
      <c r="H82" s="7"/>
    </row>
    <row r="83" spans="1:8" ht="18" x14ac:dyDescent="0.25">
      <c r="A83" s="8" t="s">
        <v>130</v>
      </c>
      <c r="B83" s="8" t="s">
        <v>41</v>
      </c>
      <c r="C83" s="8" t="s">
        <v>42</v>
      </c>
      <c r="D83" s="8" t="s">
        <v>41</v>
      </c>
      <c r="E83" s="8" t="s">
        <v>42</v>
      </c>
      <c r="F83" s="8" t="s">
        <v>41</v>
      </c>
      <c r="G83" s="8" t="s">
        <v>42</v>
      </c>
      <c r="H83" s="7"/>
    </row>
    <row r="84" spans="1:8" ht="27" x14ac:dyDescent="0.25">
      <c r="A84" s="8" t="s">
        <v>136</v>
      </c>
      <c r="B84" s="8" t="s">
        <v>41</v>
      </c>
      <c r="C84" s="8" t="s">
        <v>42</v>
      </c>
      <c r="D84" s="8" t="s">
        <v>41</v>
      </c>
      <c r="E84" s="8" t="s">
        <v>42</v>
      </c>
      <c r="F84" s="8" t="s">
        <v>41</v>
      </c>
      <c r="G84" s="8" t="s">
        <v>42</v>
      </c>
      <c r="H84" s="7"/>
    </row>
    <row r="85" spans="1:8" ht="18" x14ac:dyDescent="0.25">
      <c r="A85" s="3" t="s">
        <v>85</v>
      </c>
      <c r="B85" s="9" t="s">
        <v>247</v>
      </c>
      <c r="C85" s="3" t="s">
        <v>45</v>
      </c>
      <c r="D85" s="9" t="s">
        <v>248</v>
      </c>
      <c r="E85" s="3" t="s">
        <v>45</v>
      </c>
      <c r="F85" s="9" t="s">
        <v>45</v>
      </c>
      <c r="G85" s="3" t="s">
        <v>31</v>
      </c>
      <c r="H85" s="7"/>
    </row>
    <row r="86" spans="1:8" ht="27" x14ac:dyDescent="0.25">
      <c r="A86" s="3" t="s">
        <v>138</v>
      </c>
      <c r="B86" s="9" t="s">
        <v>87</v>
      </c>
      <c r="C86" s="3" t="s">
        <v>45</v>
      </c>
      <c r="D86" s="9" t="s">
        <v>87</v>
      </c>
      <c r="E86" s="3" t="s">
        <v>45</v>
      </c>
      <c r="F86" s="9" t="s">
        <v>45</v>
      </c>
      <c r="G86" s="3" t="s">
        <v>31</v>
      </c>
      <c r="H86" s="7"/>
    </row>
    <row r="87" spans="1:8" ht="36" x14ac:dyDescent="0.25">
      <c r="A87" s="130" t="s">
        <v>144</v>
      </c>
      <c r="B87" s="130" t="s">
        <v>41</v>
      </c>
      <c r="C87" s="130" t="s">
        <v>42</v>
      </c>
      <c r="D87" s="130" t="s">
        <v>41</v>
      </c>
      <c r="E87" s="130" t="s">
        <v>42</v>
      </c>
      <c r="F87" s="130" t="s">
        <v>41</v>
      </c>
      <c r="G87" s="130" t="s">
        <v>42</v>
      </c>
      <c r="H87" s="7"/>
    </row>
    <row r="88" spans="1:8" ht="18" x14ac:dyDescent="0.25">
      <c r="A88" s="8" t="s">
        <v>151</v>
      </c>
      <c r="B88" s="8" t="s">
        <v>41</v>
      </c>
      <c r="C88" s="8" t="s">
        <v>42</v>
      </c>
      <c r="D88" s="8" t="s">
        <v>41</v>
      </c>
      <c r="E88" s="8" t="s">
        <v>42</v>
      </c>
      <c r="F88" s="8" t="s">
        <v>41</v>
      </c>
      <c r="G88" s="8" t="s">
        <v>42</v>
      </c>
      <c r="H88" s="7"/>
    </row>
    <row r="89" spans="1:8" ht="36" x14ac:dyDescent="0.25">
      <c r="A89" s="3" t="s">
        <v>152</v>
      </c>
      <c r="B89" s="9" t="s">
        <v>275</v>
      </c>
      <c r="C89" s="3" t="s">
        <v>276</v>
      </c>
      <c r="D89" s="9" t="s">
        <v>275</v>
      </c>
      <c r="E89" s="3" t="s">
        <v>276</v>
      </c>
      <c r="F89" s="9" t="s">
        <v>153</v>
      </c>
      <c r="G89" s="3" t="s">
        <v>154</v>
      </c>
      <c r="H89" s="7"/>
    </row>
    <row r="90" spans="1:8" ht="27" x14ac:dyDescent="0.25">
      <c r="A90" s="3" t="s">
        <v>157</v>
      </c>
      <c r="B90" s="9" t="s">
        <v>277</v>
      </c>
      <c r="C90" s="3" t="s">
        <v>278</v>
      </c>
      <c r="D90" s="9" t="s">
        <v>279</v>
      </c>
      <c r="E90" s="3" t="s">
        <v>278</v>
      </c>
      <c r="F90" s="9" t="s">
        <v>158</v>
      </c>
      <c r="G90" s="3" t="s">
        <v>159</v>
      </c>
      <c r="H90" s="7"/>
    </row>
    <row r="91" spans="1:8" ht="27" x14ac:dyDescent="0.25">
      <c r="A91" s="3" t="s">
        <v>162</v>
      </c>
      <c r="B91" s="9" t="s">
        <v>280</v>
      </c>
      <c r="C91" s="3" t="s">
        <v>281</v>
      </c>
      <c r="D91" s="9" t="s">
        <v>280</v>
      </c>
      <c r="E91" s="3" t="s">
        <v>281</v>
      </c>
      <c r="F91" s="9" t="s">
        <v>163</v>
      </c>
      <c r="G91" s="3" t="s">
        <v>164</v>
      </c>
      <c r="H91" s="7"/>
    </row>
    <row r="92" spans="1:8" ht="45" x14ac:dyDescent="0.25">
      <c r="A92" s="3" t="s">
        <v>167</v>
      </c>
      <c r="B92" s="9" t="s">
        <v>282</v>
      </c>
      <c r="C92" s="3" t="s">
        <v>283</v>
      </c>
      <c r="D92" s="9" t="s">
        <v>284</v>
      </c>
      <c r="E92" s="3" t="s">
        <v>283</v>
      </c>
      <c r="F92" s="9" t="s">
        <v>283</v>
      </c>
      <c r="G92" s="3" t="s">
        <v>285</v>
      </c>
      <c r="H92" s="7"/>
    </row>
    <row r="93" spans="1:8" x14ac:dyDescent="0.25">
      <c r="A93" s="14"/>
      <c r="B93" s="13"/>
      <c r="C93" s="3" t="s">
        <v>286</v>
      </c>
      <c r="D93" s="13"/>
      <c r="E93" s="3" t="s">
        <v>286</v>
      </c>
      <c r="F93" s="9" t="s">
        <v>286</v>
      </c>
      <c r="G93" s="3" t="s">
        <v>286</v>
      </c>
      <c r="H93" s="2"/>
    </row>
    <row r="94" spans="1:8" ht="27" x14ac:dyDescent="0.25">
      <c r="A94" s="3" t="s">
        <v>172</v>
      </c>
      <c r="B94" s="9" t="s">
        <v>287</v>
      </c>
      <c r="C94" s="3" t="s">
        <v>173</v>
      </c>
      <c r="D94" s="9" t="s">
        <v>287</v>
      </c>
      <c r="E94" s="3" t="s">
        <v>173</v>
      </c>
      <c r="F94" s="9" t="s">
        <v>173</v>
      </c>
      <c r="G94" s="3" t="s">
        <v>173</v>
      </c>
      <c r="H94" s="6"/>
    </row>
    <row r="95" spans="1:8" ht="18" x14ac:dyDescent="0.25">
      <c r="A95" s="3" t="s">
        <v>174</v>
      </c>
      <c r="B95" s="9" t="s">
        <v>287</v>
      </c>
      <c r="C95" s="3" t="s">
        <v>173</v>
      </c>
      <c r="D95" s="9" t="s">
        <v>287</v>
      </c>
      <c r="E95" s="3" t="s">
        <v>173</v>
      </c>
      <c r="F95" s="9" t="s">
        <v>173</v>
      </c>
      <c r="G95" s="3" t="s">
        <v>173</v>
      </c>
      <c r="H95" s="6"/>
    </row>
    <row r="96" spans="1:8" ht="18" x14ac:dyDescent="0.25">
      <c r="A96" s="3" t="s">
        <v>175</v>
      </c>
      <c r="B96" s="9" t="s">
        <v>246</v>
      </c>
      <c r="C96" s="3" t="s">
        <v>45</v>
      </c>
      <c r="D96" s="9" t="s">
        <v>44</v>
      </c>
      <c r="E96" s="3" t="s">
        <v>45</v>
      </c>
      <c r="F96" s="9" t="s">
        <v>45</v>
      </c>
      <c r="G96" s="3" t="s">
        <v>31</v>
      </c>
      <c r="H96" s="6"/>
    </row>
    <row r="97" spans="1:8" ht="18" x14ac:dyDescent="0.25">
      <c r="A97" s="10" t="s">
        <v>176</v>
      </c>
      <c r="B97" s="11" t="s">
        <v>247</v>
      </c>
      <c r="C97" s="10" t="s">
        <v>45</v>
      </c>
      <c r="D97" s="11" t="s">
        <v>248</v>
      </c>
      <c r="E97" s="10" t="s">
        <v>45</v>
      </c>
      <c r="F97" s="11" t="s">
        <v>45</v>
      </c>
      <c r="G97" s="10" t="s">
        <v>31</v>
      </c>
      <c r="H97" s="85"/>
    </row>
    <row r="98" spans="1:8" ht="27" x14ac:dyDescent="0.25">
      <c r="A98" s="15" t="s">
        <v>177</v>
      </c>
      <c r="B98" s="12" t="s">
        <v>288</v>
      </c>
      <c r="C98" s="15" t="s">
        <v>179</v>
      </c>
      <c r="D98" s="12" t="s">
        <v>288</v>
      </c>
      <c r="E98" s="15" t="s">
        <v>179</v>
      </c>
      <c r="F98" s="12" t="s">
        <v>178</v>
      </c>
      <c r="G98" s="15" t="s">
        <v>179</v>
      </c>
      <c r="H98" s="84"/>
    </row>
    <row r="99" spans="1:8" ht="18" x14ac:dyDescent="0.25">
      <c r="A99" s="8" t="s">
        <v>180</v>
      </c>
      <c r="B99" s="8" t="s">
        <v>41</v>
      </c>
      <c r="C99" s="8" t="s">
        <v>42</v>
      </c>
      <c r="D99" s="8" t="s">
        <v>41</v>
      </c>
      <c r="E99" s="8" t="s">
        <v>42</v>
      </c>
      <c r="F99" s="8" t="s">
        <v>41</v>
      </c>
      <c r="G99" s="8" t="s">
        <v>42</v>
      </c>
      <c r="H99" s="2"/>
    </row>
    <row r="100" spans="1:8" ht="27" x14ac:dyDescent="0.25">
      <c r="A100" s="3" t="s">
        <v>185</v>
      </c>
      <c r="B100" s="9" t="s">
        <v>247</v>
      </c>
      <c r="C100" s="3" t="s">
        <v>45</v>
      </c>
      <c r="D100" s="9" t="s">
        <v>248</v>
      </c>
      <c r="E100" s="3" t="s">
        <v>45</v>
      </c>
      <c r="F100" s="9" t="s">
        <v>45</v>
      </c>
      <c r="G100" s="3" t="s">
        <v>31</v>
      </c>
      <c r="H100" s="6"/>
    </row>
    <row r="101" spans="1:8" ht="27" x14ac:dyDescent="0.25">
      <c r="A101" s="3" t="s">
        <v>189</v>
      </c>
      <c r="B101" s="9" t="s">
        <v>289</v>
      </c>
      <c r="C101" s="3" t="s">
        <v>191</v>
      </c>
      <c r="D101" s="9" t="s">
        <v>290</v>
      </c>
      <c r="E101" s="3" t="s">
        <v>191</v>
      </c>
      <c r="F101" s="9" t="s">
        <v>191</v>
      </c>
      <c r="G101" s="3" t="s">
        <v>183</v>
      </c>
      <c r="H101" s="4"/>
    </row>
    <row r="102" spans="1:8" ht="27" x14ac:dyDescent="0.25">
      <c r="A102" s="3" t="s">
        <v>192</v>
      </c>
      <c r="B102" s="9" t="s">
        <v>291</v>
      </c>
      <c r="C102" s="3" t="s">
        <v>193</v>
      </c>
      <c r="D102" s="9" t="s">
        <v>291</v>
      </c>
      <c r="E102" s="3" t="s">
        <v>193</v>
      </c>
      <c r="F102" s="9" t="s">
        <v>193</v>
      </c>
      <c r="G102" s="3" t="s">
        <v>193</v>
      </c>
      <c r="H102" s="4"/>
    </row>
    <row r="103" spans="1:8" ht="99" customHeight="1" x14ac:dyDescent="0.25">
      <c r="A103" s="130" t="s">
        <v>194</v>
      </c>
      <c r="B103" s="130" t="s">
        <v>41</v>
      </c>
      <c r="C103" s="130" t="s">
        <v>42</v>
      </c>
      <c r="D103" s="130" t="s">
        <v>41</v>
      </c>
      <c r="E103" s="130" t="s">
        <v>42</v>
      </c>
      <c r="F103" s="130" t="s">
        <v>41</v>
      </c>
      <c r="G103" s="130" t="s">
        <v>42</v>
      </c>
      <c r="H103" s="137"/>
    </row>
    <row r="104" spans="1:8" ht="18" x14ac:dyDescent="0.25">
      <c r="A104" s="15" t="s">
        <v>195</v>
      </c>
      <c r="B104" s="12" t="s">
        <v>112</v>
      </c>
      <c r="C104" s="15" t="s">
        <v>112</v>
      </c>
      <c r="D104" s="12" t="s">
        <v>112</v>
      </c>
      <c r="E104" s="15" t="s">
        <v>112</v>
      </c>
      <c r="F104" s="12" t="s">
        <v>112</v>
      </c>
      <c r="G104" s="15" t="s">
        <v>112</v>
      </c>
      <c r="H104" s="137"/>
    </row>
    <row r="105" spans="1:8" ht="45" x14ac:dyDescent="0.25">
      <c r="A105" s="3" t="s">
        <v>202</v>
      </c>
      <c r="B105" s="9" t="s">
        <v>287</v>
      </c>
      <c r="C105" s="3" t="s">
        <v>203</v>
      </c>
      <c r="D105" s="9" t="s">
        <v>287</v>
      </c>
      <c r="E105" s="3" t="s">
        <v>203</v>
      </c>
      <c r="F105" s="9" t="s">
        <v>173</v>
      </c>
      <c r="G105" s="3" t="s">
        <v>203</v>
      </c>
      <c r="H105" s="4"/>
    </row>
    <row r="106" spans="1:8" ht="54" x14ac:dyDescent="0.25">
      <c r="A106" s="3" t="s">
        <v>204</v>
      </c>
      <c r="B106" s="9" t="s">
        <v>295</v>
      </c>
      <c r="C106" s="3" t="s">
        <v>296</v>
      </c>
      <c r="D106" s="9" t="s">
        <v>297</v>
      </c>
      <c r="E106" s="3" t="s">
        <v>296</v>
      </c>
      <c r="F106" s="9" t="s">
        <v>296</v>
      </c>
      <c r="G106" s="3" t="s">
        <v>298</v>
      </c>
      <c r="H106" s="4"/>
    </row>
  </sheetData>
  <autoFilter ref="A1:H1" xr:uid="{00000000-0009-0000-0000-000000000000}">
    <sortState xmlns:xlrd2="http://schemas.microsoft.com/office/spreadsheetml/2017/richdata2" ref="A2:H106">
      <sortCondition sortBy="cellColor" ref="A1" dxfId="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workbookViewId="0"/>
  </sheetViews>
  <sheetFormatPr defaultRowHeight="15" x14ac:dyDescent="0.25"/>
  <sheetData>
    <row r="1" spans="1:8" ht="18" customHeight="1" x14ac:dyDescent="0.25">
      <c r="A1" s="1"/>
      <c r="B1" s="124" t="s">
        <v>299</v>
      </c>
      <c r="C1" s="125"/>
      <c r="D1" s="124" t="s">
        <v>300</v>
      </c>
      <c r="E1" s="125"/>
      <c r="F1" s="124" t="s">
        <v>301</v>
      </c>
      <c r="G1" s="126"/>
      <c r="H1" s="2"/>
    </row>
    <row r="2" spans="1:8" ht="14.25" customHeight="1" x14ac:dyDescent="0.25">
      <c r="A2" s="127" t="s">
        <v>22</v>
      </c>
      <c r="B2" s="122">
        <v>673.98</v>
      </c>
      <c r="C2" s="122"/>
      <c r="D2" s="133">
        <v>671.85</v>
      </c>
      <c r="E2" s="133"/>
      <c r="F2" s="122">
        <v>654.36</v>
      </c>
      <c r="G2" s="122"/>
      <c r="H2" s="2"/>
    </row>
    <row r="3" spans="1:8" ht="14.25" customHeight="1" x14ac:dyDescent="0.25">
      <c r="A3" s="96" t="s">
        <v>23</v>
      </c>
      <c r="B3" s="118">
        <v>1347.95</v>
      </c>
      <c r="C3" s="119"/>
      <c r="D3" s="120">
        <v>1343.69</v>
      </c>
      <c r="E3" s="121"/>
      <c r="F3" s="118">
        <v>1308.72</v>
      </c>
      <c r="G3" s="122"/>
      <c r="H3" s="2"/>
    </row>
    <row r="4" spans="1:8" ht="14.25" customHeight="1" x14ac:dyDescent="0.25">
      <c r="A4" s="96" t="s">
        <v>24</v>
      </c>
      <c r="B4" s="118">
        <v>1145.76</v>
      </c>
      <c r="C4" s="119"/>
      <c r="D4" s="120">
        <v>1142.1400000000001</v>
      </c>
      <c r="E4" s="121"/>
      <c r="F4" s="118">
        <v>1112.4100000000001</v>
      </c>
      <c r="G4" s="122"/>
      <c r="H4" s="2"/>
    </row>
    <row r="5" spans="1:8" x14ac:dyDescent="0.25">
      <c r="A5" s="96" t="s">
        <v>25</v>
      </c>
      <c r="B5" s="118">
        <v>1920.84</v>
      </c>
      <c r="C5" s="119"/>
      <c r="D5" s="120">
        <v>1914.76</v>
      </c>
      <c r="E5" s="121"/>
      <c r="F5" s="118">
        <v>1864.92</v>
      </c>
      <c r="G5" s="122"/>
      <c r="H5" s="2"/>
    </row>
    <row r="6" spans="1:8" ht="72" customHeight="1" x14ac:dyDescent="0.25">
      <c r="A6" s="96" t="s">
        <v>43</v>
      </c>
      <c r="B6" s="81" t="s">
        <v>46</v>
      </c>
      <c r="C6" s="82" t="s">
        <v>31</v>
      </c>
      <c r="D6" s="81" t="s">
        <v>305</v>
      </c>
      <c r="E6" s="82" t="s">
        <v>31</v>
      </c>
      <c r="F6" s="81" t="s">
        <v>44</v>
      </c>
      <c r="G6" s="89" t="s">
        <v>31</v>
      </c>
      <c r="H6" s="7"/>
    </row>
    <row r="7" spans="1:8" ht="36" x14ac:dyDescent="0.25">
      <c r="A7" s="96" t="s">
        <v>47</v>
      </c>
      <c r="B7" s="81" t="s">
        <v>49</v>
      </c>
      <c r="C7" s="82" t="s">
        <v>31</v>
      </c>
      <c r="D7" s="81" t="s">
        <v>247</v>
      </c>
      <c r="E7" s="82" t="s">
        <v>31</v>
      </c>
      <c r="F7" s="81" t="s">
        <v>48</v>
      </c>
      <c r="G7" s="89" t="s">
        <v>31</v>
      </c>
      <c r="H7" s="7"/>
    </row>
    <row r="8" spans="1:8" ht="18" x14ac:dyDescent="0.25">
      <c r="A8" s="96" t="s">
        <v>50</v>
      </c>
      <c r="B8" s="81" t="s">
        <v>51</v>
      </c>
      <c r="C8" s="82" t="s">
        <v>52</v>
      </c>
      <c r="D8" s="81" t="s">
        <v>51</v>
      </c>
      <c r="E8" s="82" t="s">
        <v>52</v>
      </c>
      <c r="F8" s="81" t="s">
        <v>51</v>
      </c>
      <c r="G8" s="89" t="s">
        <v>52</v>
      </c>
      <c r="H8" s="7"/>
    </row>
    <row r="9" spans="1:8" ht="54" x14ac:dyDescent="0.25">
      <c r="A9" s="128" t="s">
        <v>54</v>
      </c>
      <c r="B9" s="81" t="s">
        <v>306</v>
      </c>
      <c r="C9" s="116" t="s">
        <v>56</v>
      </c>
      <c r="D9" s="81" t="s">
        <v>306</v>
      </c>
      <c r="E9" s="116" t="s">
        <v>56</v>
      </c>
      <c r="F9" s="81" t="s">
        <v>308</v>
      </c>
      <c r="G9" s="135" t="s">
        <v>56</v>
      </c>
      <c r="H9" s="138"/>
    </row>
    <row r="10" spans="1:8" x14ac:dyDescent="0.25">
      <c r="A10" s="128"/>
      <c r="B10" s="81" t="s">
        <v>307</v>
      </c>
      <c r="C10" s="116"/>
      <c r="D10" s="81" t="s">
        <v>307</v>
      </c>
      <c r="E10" s="116"/>
      <c r="F10" s="81" t="s">
        <v>309</v>
      </c>
      <c r="G10" s="135"/>
      <c r="H10" s="138"/>
    </row>
    <row r="11" spans="1:8" ht="36" x14ac:dyDescent="0.25">
      <c r="A11" s="96" t="s">
        <v>60</v>
      </c>
      <c r="B11" s="81" t="s">
        <v>310</v>
      </c>
      <c r="C11" s="82" t="s">
        <v>62</v>
      </c>
      <c r="D11" s="81" t="s">
        <v>311</v>
      </c>
      <c r="E11" s="82" t="s">
        <v>62</v>
      </c>
      <c r="F11" s="81" t="s">
        <v>312</v>
      </c>
      <c r="G11" s="89" t="s">
        <v>62</v>
      </c>
      <c r="H11" s="7"/>
    </row>
    <row r="12" spans="1:8" ht="18" x14ac:dyDescent="0.25">
      <c r="A12" s="96" t="s">
        <v>65</v>
      </c>
      <c r="B12" s="81" t="s">
        <v>66</v>
      </c>
      <c r="C12" s="82" t="s">
        <v>66</v>
      </c>
      <c r="D12" s="81" t="s">
        <v>66</v>
      </c>
      <c r="E12" s="82" t="s">
        <v>66</v>
      </c>
      <c r="F12" s="81" t="s">
        <v>66</v>
      </c>
      <c r="G12" s="89" t="s">
        <v>66</v>
      </c>
      <c r="H12" s="7"/>
    </row>
    <row r="13" spans="1:8" ht="36" x14ac:dyDescent="0.25">
      <c r="A13" s="96" t="s">
        <v>69</v>
      </c>
      <c r="B13" s="81" t="s">
        <v>70</v>
      </c>
      <c r="C13" s="82" t="s">
        <v>31</v>
      </c>
      <c r="D13" s="81" t="s">
        <v>70</v>
      </c>
      <c r="E13" s="82" t="s">
        <v>31</v>
      </c>
      <c r="F13" s="81" t="s">
        <v>70</v>
      </c>
      <c r="G13" s="89" t="s">
        <v>31</v>
      </c>
      <c r="H13" s="7"/>
    </row>
    <row r="14" spans="1:8" ht="36" x14ac:dyDescent="0.25">
      <c r="A14" s="96" t="s">
        <v>72</v>
      </c>
      <c r="B14" s="81" t="s">
        <v>70</v>
      </c>
      <c r="C14" s="82" t="s">
        <v>31</v>
      </c>
      <c r="D14" s="81" t="s">
        <v>70</v>
      </c>
      <c r="E14" s="82" t="s">
        <v>31</v>
      </c>
      <c r="F14" s="81" t="s">
        <v>70</v>
      </c>
      <c r="G14" s="89" t="s">
        <v>31</v>
      </c>
      <c r="H14" s="7"/>
    </row>
    <row r="15" spans="1:8" ht="36" x14ac:dyDescent="0.25">
      <c r="A15" s="127" t="s">
        <v>75</v>
      </c>
      <c r="B15" s="83" t="s">
        <v>70</v>
      </c>
      <c r="C15" s="89" t="s">
        <v>31</v>
      </c>
      <c r="D15" s="83" t="s">
        <v>70</v>
      </c>
      <c r="E15" s="89" t="s">
        <v>31</v>
      </c>
      <c r="F15" s="83" t="s">
        <v>70</v>
      </c>
      <c r="G15" s="89" t="s">
        <v>31</v>
      </c>
      <c r="H15" s="7"/>
    </row>
    <row r="16" spans="1:8" ht="36" x14ac:dyDescent="0.25">
      <c r="A16" s="96" t="s">
        <v>76</v>
      </c>
      <c r="B16" s="81" t="s">
        <v>70</v>
      </c>
      <c r="C16" s="82" t="s">
        <v>31</v>
      </c>
      <c r="D16" s="81" t="s">
        <v>70</v>
      </c>
      <c r="E16" s="82" t="s">
        <v>31</v>
      </c>
      <c r="F16" s="81" t="s">
        <v>70</v>
      </c>
      <c r="G16" s="89" t="s">
        <v>31</v>
      </c>
      <c r="H16" s="7"/>
    </row>
    <row r="17" spans="1:8" ht="36" x14ac:dyDescent="0.25">
      <c r="A17" s="96" t="s">
        <v>83</v>
      </c>
      <c r="B17" s="81" t="s">
        <v>84</v>
      </c>
      <c r="C17" s="82" t="s">
        <v>31</v>
      </c>
      <c r="D17" s="81" t="s">
        <v>70</v>
      </c>
      <c r="E17" s="82" t="s">
        <v>31</v>
      </c>
      <c r="F17" s="81" t="s">
        <v>70</v>
      </c>
      <c r="G17" s="89" t="s">
        <v>31</v>
      </c>
      <c r="H17" s="7"/>
    </row>
    <row r="18" spans="1:8" ht="18" customHeight="1" x14ac:dyDescent="0.25">
      <c r="A18" s="96" t="s">
        <v>85</v>
      </c>
      <c r="B18" s="81" t="s">
        <v>137</v>
      </c>
      <c r="C18" s="82" t="s">
        <v>31</v>
      </c>
      <c r="D18" s="81" t="s">
        <v>247</v>
      </c>
      <c r="E18" s="82" t="s">
        <v>31</v>
      </c>
      <c r="F18" s="81" t="s">
        <v>48</v>
      </c>
      <c r="G18" s="89" t="s">
        <v>31</v>
      </c>
      <c r="H18" s="7"/>
    </row>
    <row r="19" spans="1:8" ht="27" customHeight="1" x14ac:dyDescent="0.25">
      <c r="A19" s="96" t="s">
        <v>94</v>
      </c>
      <c r="B19" s="81" t="s">
        <v>140</v>
      </c>
      <c r="C19" s="82" t="s">
        <v>31</v>
      </c>
      <c r="D19" s="81" t="s">
        <v>305</v>
      </c>
      <c r="E19" s="82" t="s">
        <v>31</v>
      </c>
      <c r="F19" s="81" t="s">
        <v>44</v>
      </c>
      <c r="G19" s="89" t="s">
        <v>31</v>
      </c>
      <c r="H19" s="7"/>
    </row>
    <row r="20" spans="1:8" ht="18" customHeight="1" x14ac:dyDescent="0.25">
      <c r="A20" s="96" t="s">
        <v>98</v>
      </c>
      <c r="B20" s="81" t="s">
        <v>99</v>
      </c>
      <c r="C20" s="82" t="s">
        <v>31</v>
      </c>
      <c r="D20" s="81" t="s">
        <v>305</v>
      </c>
      <c r="E20" s="82" t="s">
        <v>31</v>
      </c>
      <c r="F20" s="81" t="s">
        <v>44</v>
      </c>
      <c r="G20" s="89" t="s">
        <v>31</v>
      </c>
      <c r="H20" s="7"/>
    </row>
    <row r="21" spans="1:8" ht="36" x14ac:dyDescent="0.25">
      <c r="A21" s="96" t="s">
        <v>100</v>
      </c>
      <c r="B21" s="81" t="s">
        <v>137</v>
      </c>
      <c r="C21" s="82" t="s">
        <v>31</v>
      </c>
      <c r="D21" s="81" t="s">
        <v>247</v>
      </c>
      <c r="E21" s="82" t="s">
        <v>31</v>
      </c>
      <c r="F21" s="81" t="s">
        <v>48</v>
      </c>
      <c r="G21" s="89" t="s">
        <v>31</v>
      </c>
      <c r="H21" s="7"/>
    </row>
    <row r="22" spans="1:8" ht="72" customHeight="1" x14ac:dyDescent="0.25">
      <c r="A22" s="96" t="s">
        <v>103</v>
      </c>
      <c r="B22" s="81" t="s">
        <v>104</v>
      </c>
      <c r="C22" s="82" t="s">
        <v>31</v>
      </c>
      <c r="D22" s="81" t="s">
        <v>104</v>
      </c>
      <c r="E22" s="82" t="s">
        <v>31</v>
      </c>
      <c r="F22" s="81" t="s">
        <v>104</v>
      </c>
      <c r="G22" s="89" t="s">
        <v>31</v>
      </c>
      <c r="H22" s="7"/>
    </row>
    <row r="23" spans="1:8" ht="14.25" customHeight="1" x14ac:dyDescent="0.25">
      <c r="A23" s="127" t="s">
        <v>110</v>
      </c>
      <c r="B23" s="83" t="s">
        <v>315</v>
      </c>
      <c r="C23" s="89" t="s">
        <v>112</v>
      </c>
      <c r="D23" s="83" t="s">
        <v>316</v>
      </c>
      <c r="E23" s="89" t="s">
        <v>112</v>
      </c>
      <c r="F23" s="83" t="s">
        <v>316</v>
      </c>
      <c r="G23" s="89" t="s">
        <v>112</v>
      </c>
      <c r="H23" s="7"/>
    </row>
    <row r="24" spans="1:8" ht="36" x14ac:dyDescent="0.25">
      <c r="A24" s="96" t="s">
        <v>131</v>
      </c>
      <c r="B24" s="9" t="s">
        <v>319</v>
      </c>
      <c r="C24" s="3" t="s">
        <v>319</v>
      </c>
      <c r="D24" s="9" t="s">
        <v>320</v>
      </c>
      <c r="E24" s="3" t="s">
        <v>320</v>
      </c>
      <c r="F24" s="9" t="s">
        <v>320</v>
      </c>
      <c r="G24" s="3" t="s">
        <v>320</v>
      </c>
      <c r="H24" s="7"/>
    </row>
    <row r="25" spans="1:8" ht="36" x14ac:dyDescent="0.25">
      <c r="A25" s="96" t="s">
        <v>134</v>
      </c>
      <c r="B25" s="9" t="s">
        <v>49</v>
      </c>
      <c r="C25" s="3" t="s">
        <v>31</v>
      </c>
      <c r="D25" s="9" t="s">
        <v>247</v>
      </c>
      <c r="E25" s="3" t="s">
        <v>31</v>
      </c>
      <c r="F25" s="9" t="s">
        <v>48</v>
      </c>
      <c r="G25" s="3" t="s">
        <v>31</v>
      </c>
      <c r="H25" s="7"/>
    </row>
    <row r="26" spans="1:8" ht="36" x14ac:dyDescent="0.25">
      <c r="A26" s="96" t="s">
        <v>135</v>
      </c>
      <c r="B26" s="9" t="s">
        <v>319</v>
      </c>
      <c r="C26" s="3" t="s">
        <v>319</v>
      </c>
      <c r="D26" s="9" t="s">
        <v>320</v>
      </c>
      <c r="E26" s="3" t="s">
        <v>320</v>
      </c>
      <c r="F26" s="9" t="s">
        <v>320</v>
      </c>
      <c r="G26" s="3" t="s">
        <v>320</v>
      </c>
      <c r="H26" s="7"/>
    </row>
    <row r="27" spans="1:8" ht="36" x14ac:dyDescent="0.25">
      <c r="A27" s="96" t="s">
        <v>94</v>
      </c>
      <c r="B27" s="9" t="s">
        <v>140</v>
      </c>
      <c r="C27" s="3" t="s">
        <v>31</v>
      </c>
      <c r="D27" s="9" t="s">
        <v>305</v>
      </c>
      <c r="E27" s="3" t="s">
        <v>31</v>
      </c>
      <c r="F27" s="9" t="s">
        <v>44</v>
      </c>
      <c r="G27" s="3" t="s">
        <v>31</v>
      </c>
      <c r="H27" s="7"/>
    </row>
    <row r="28" spans="1:8" ht="39" customHeight="1" x14ac:dyDescent="0.25">
      <c r="A28" s="99" t="s">
        <v>141</v>
      </c>
      <c r="B28" s="11" t="s">
        <v>45</v>
      </c>
      <c r="C28" s="10" t="s">
        <v>31</v>
      </c>
      <c r="D28" s="11" t="s">
        <v>45</v>
      </c>
      <c r="E28" s="10" t="s">
        <v>31</v>
      </c>
      <c r="F28" s="11" t="s">
        <v>45</v>
      </c>
      <c r="G28" s="10" t="s">
        <v>31</v>
      </c>
      <c r="H28" s="86"/>
    </row>
    <row r="29" spans="1:8" ht="36" x14ac:dyDescent="0.25">
      <c r="A29" s="98" t="s">
        <v>98</v>
      </c>
      <c r="B29" s="12" t="s">
        <v>140</v>
      </c>
      <c r="C29" s="15" t="s">
        <v>31</v>
      </c>
      <c r="D29" s="12" t="s">
        <v>305</v>
      </c>
      <c r="E29" s="15" t="s">
        <v>31</v>
      </c>
      <c r="F29" s="12" t="s">
        <v>44</v>
      </c>
      <c r="G29" s="15" t="s">
        <v>31</v>
      </c>
      <c r="H29" s="86"/>
    </row>
    <row r="30" spans="1:8" ht="36" x14ac:dyDescent="0.25">
      <c r="A30" s="96" t="s">
        <v>143</v>
      </c>
      <c r="B30" s="9" t="s">
        <v>137</v>
      </c>
      <c r="C30" s="3" t="s">
        <v>31</v>
      </c>
      <c r="D30" s="9" t="s">
        <v>247</v>
      </c>
      <c r="E30" s="3" t="s">
        <v>31</v>
      </c>
      <c r="F30" s="9" t="s">
        <v>48</v>
      </c>
      <c r="G30" s="3" t="s">
        <v>31</v>
      </c>
      <c r="H30" s="7"/>
    </row>
    <row r="31" spans="1:8" ht="63" x14ac:dyDescent="0.25">
      <c r="A31" s="96" t="s">
        <v>145</v>
      </c>
      <c r="B31" s="9" t="s">
        <v>146</v>
      </c>
      <c r="C31" s="3" t="s">
        <v>318</v>
      </c>
      <c r="D31" s="9" t="s">
        <v>146</v>
      </c>
      <c r="E31" s="3" t="s">
        <v>120</v>
      </c>
      <c r="F31" s="9" t="s">
        <v>146</v>
      </c>
      <c r="G31" s="3" t="s">
        <v>120</v>
      </c>
      <c r="H31" s="7"/>
    </row>
    <row r="32" spans="1:8" ht="81" x14ac:dyDescent="0.25">
      <c r="A32" s="127" t="s">
        <v>147</v>
      </c>
      <c r="B32" s="83" t="s">
        <v>321</v>
      </c>
      <c r="C32" s="89" t="s">
        <v>31</v>
      </c>
      <c r="D32" s="83" t="s">
        <v>322</v>
      </c>
      <c r="E32" s="89" t="s">
        <v>31</v>
      </c>
      <c r="F32" s="83" t="s">
        <v>148</v>
      </c>
      <c r="G32" s="89" t="s">
        <v>31</v>
      </c>
      <c r="H32" s="7"/>
    </row>
    <row r="33" spans="1:8" ht="63" x14ac:dyDescent="0.25">
      <c r="A33" s="96" t="s">
        <v>149</v>
      </c>
      <c r="B33" s="9" t="s">
        <v>146</v>
      </c>
      <c r="C33" s="3" t="s">
        <v>318</v>
      </c>
      <c r="D33" s="9" t="s">
        <v>146</v>
      </c>
      <c r="E33" s="3" t="s">
        <v>120</v>
      </c>
      <c r="F33" s="9" t="s">
        <v>146</v>
      </c>
      <c r="G33" s="3" t="s">
        <v>120</v>
      </c>
      <c r="H33" s="7"/>
    </row>
    <row r="34" spans="1:8" ht="81" x14ac:dyDescent="0.25">
      <c r="A34" s="96" t="s">
        <v>150</v>
      </c>
      <c r="B34" s="9" t="s">
        <v>321</v>
      </c>
      <c r="C34" s="3" t="s">
        <v>31</v>
      </c>
      <c r="D34" s="9" t="s">
        <v>322</v>
      </c>
      <c r="E34" s="3" t="s">
        <v>31</v>
      </c>
      <c r="F34" s="9" t="s">
        <v>148</v>
      </c>
      <c r="G34" s="3" t="s">
        <v>31</v>
      </c>
      <c r="H34" s="7"/>
    </row>
    <row r="35" spans="1:8" ht="54" x14ac:dyDescent="0.25">
      <c r="A35" s="96" t="s">
        <v>167</v>
      </c>
      <c r="B35" s="9" t="s">
        <v>323</v>
      </c>
      <c r="C35" s="3" t="s">
        <v>324</v>
      </c>
      <c r="D35" s="9" t="s">
        <v>325</v>
      </c>
      <c r="E35" s="3" t="s">
        <v>324</v>
      </c>
      <c r="F35" s="9" t="s">
        <v>326</v>
      </c>
      <c r="G35" s="3" t="s">
        <v>324</v>
      </c>
      <c r="H35" s="7"/>
    </row>
    <row r="36" spans="1:8" ht="36" x14ac:dyDescent="0.25">
      <c r="A36" s="96" t="s">
        <v>172</v>
      </c>
      <c r="B36" s="9" t="s">
        <v>173</v>
      </c>
      <c r="C36" s="3" t="s">
        <v>173</v>
      </c>
      <c r="D36" s="9" t="s">
        <v>173</v>
      </c>
      <c r="E36" s="3" t="s">
        <v>173</v>
      </c>
      <c r="F36" s="9" t="s">
        <v>173</v>
      </c>
      <c r="G36" s="3" t="s">
        <v>173</v>
      </c>
      <c r="H36" s="6"/>
    </row>
    <row r="37" spans="1:8" ht="36" x14ac:dyDescent="0.25">
      <c r="A37" s="96" t="s">
        <v>175</v>
      </c>
      <c r="B37" s="9" t="s">
        <v>140</v>
      </c>
      <c r="C37" s="3" t="s">
        <v>31</v>
      </c>
      <c r="D37" s="9" t="s">
        <v>305</v>
      </c>
      <c r="E37" s="3" t="s">
        <v>31</v>
      </c>
      <c r="F37" s="9" t="s">
        <v>44</v>
      </c>
      <c r="G37" s="3" t="s">
        <v>31</v>
      </c>
      <c r="H37" s="6"/>
    </row>
    <row r="38" spans="1:8" ht="54" x14ac:dyDescent="0.25">
      <c r="A38" s="96" t="s">
        <v>181</v>
      </c>
      <c r="B38" s="9" t="s">
        <v>184</v>
      </c>
      <c r="C38" s="3" t="s">
        <v>183</v>
      </c>
      <c r="D38" s="9" t="s">
        <v>182</v>
      </c>
      <c r="E38" s="3" t="s">
        <v>183</v>
      </c>
      <c r="F38" s="9" t="s">
        <v>182</v>
      </c>
      <c r="G38" s="3" t="s">
        <v>183</v>
      </c>
      <c r="H38" s="4"/>
    </row>
    <row r="39" spans="1:8" ht="27" x14ac:dyDescent="0.25">
      <c r="A39" s="128" t="s">
        <v>186</v>
      </c>
      <c r="B39" s="9" t="s">
        <v>187</v>
      </c>
      <c r="C39" s="3" t="s">
        <v>187</v>
      </c>
      <c r="D39" s="9" t="s">
        <v>187</v>
      </c>
      <c r="E39" s="3" t="s">
        <v>187</v>
      </c>
      <c r="F39" s="9" t="s">
        <v>187</v>
      </c>
      <c r="G39" s="3" t="s">
        <v>187</v>
      </c>
      <c r="H39" s="139"/>
    </row>
    <row r="40" spans="1:8" x14ac:dyDescent="0.25">
      <c r="A40" s="128"/>
      <c r="B40" s="9" t="s">
        <v>188</v>
      </c>
      <c r="C40" s="3" t="s">
        <v>188</v>
      </c>
      <c r="D40" s="9" t="s">
        <v>188</v>
      </c>
      <c r="E40" s="3" t="s">
        <v>188</v>
      </c>
      <c r="F40" s="9" t="s">
        <v>188</v>
      </c>
      <c r="G40" s="3" t="s">
        <v>188</v>
      </c>
      <c r="H40" s="139"/>
    </row>
    <row r="41" spans="1:8" ht="63" x14ac:dyDescent="0.25">
      <c r="A41" s="128" t="s">
        <v>196</v>
      </c>
      <c r="B41" s="132" t="s">
        <v>197</v>
      </c>
      <c r="C41" s="3" t="s">
        <v>198</v>
      </c>
      <c r="D41" s="132" t="s">
        <v>197</v>
      </c>
      <c r="E41" s="3" t="s">
        <v>198</v>
      </c>
      <c r="F41" s="132" t="s">
        <v>197</v>
      </c>
      <c r="G41" s="3" t="s">
        <v>198</v>
      </c>
      <c r="H41" s="136"/>
    </row>
    <row r="42" spans="1:8" ht="27" x14ac:dyDescent="0.25">
      <c r="A42" s="128"/>
      <c r="B42" s="132"/>
      <c r="C42" s="3" t="s">
        <v>330</v>
      </c>
      <c r="D42" s="132"/>
      <c r="E42" s="3" t="s">
        <v>330</v>
      </c>
      <c r="F42" s="132"/>
      <c r="G42" s="3" t="s">
        <v>330</v>
      </c>
      <c r="H42" s="136"/>
    </row>
    <row r="43" spans="1:8" ht="36" x14ac:dyDescent="0.25">
      <c r="A43" s="128"/>
      <c r="B43" s="132"/>
      <c r="C43" s="3" t="s">
        <v>331</v>
      </c>
      <c r="D43" s="132"/>
      <c r="E43" s="3" t="s">
        <v>331</v>
      </c>
      <c r="F43" s="132"/>
      <c r="G43" s="3" t="s">
        <v>331</v>
      </c>
      <c r="H43" s="136"/>
    </row>
    <row r="44" spans="1:8" ht="18" x14ac:dyDescent="0.25">
      <c r="A44" s="129" t="s">
        <v>3</v>
      </c>
      <c r="B44" s="129"/>
      <c r="C44" s="129"/>
      <c r="D44" s="129"/>
      <c r="E44" s="129"/>
      <c r="F44" s="129"/>
      <c r="G44" s="129"/>
      <c r="H44" s="2"/>
    </row>
    <row r="45" spans="1:8" ht="27" x14ac:dyDescent="0.25">
      <c r="A45" s="3" t="s">
        <v>4</v>
      </c>
      <c r="B45" s="132" t="s">
        <v>302</v>
      </c>
      <c r="C45" s="132"/>
      <c r="D45" s="134" t="s">
        <v>303</v>
      </c>
      <c r="E45" s="134"/>
      <c r="F45" s="132" t="s">
        <v>304</v>
      </c>
      <c r="G45" s="132"/>
      <c r="H45" s="2"/>
    </row>
    <row r="46" spans="1:8" ht="18" x14ac:dyDescent="0.25">
      <c r="A46" s="3" t="s">
        <v>5</v>
      </c>
      <c r="B46" s="132" t="s">
        <v>299</v>
      </c>
      <c r="C46" s="132"/>
      <c r="D46" s="134" t="s">
        <v>300</v>
      </c>
      <c r="E46" s="134"/>
      <c r="F46" s="132" t="s">
        <v>301</v>
      </c>
      <c r="G46" s="132"/>
      <c r="H46" s="2"/>
    </row>
    <row r="47" spans="1:8" ht="18" x14ac:dyDescent="0.25">
      <c r="A47" s="10" t="s">
        <v>6</v>
      </c>
      <c r="B47" s="106" t="s">
        <v>7</v>
      </c>
      <c r="C47" s="106"/>
      <c r="D47" s="108" t="s">
        <v>7</v>
      </c>
      <c r="E47" s="108"/>
      <c r="F47" s="106" t="s">
        <v>7</v>
      </c>
      <c r="G47" s="106"/>
      <c r="H47" s="2"/>
    </row>
    <row r="48" spans="1:8" ht="153" x14ac:dyDescent="0.25">
      <c r="A48" s="3" t="s">
        <v>9</v>
      </c>
      <c r="B48" s="132" t="s">
        <v>209</v>
      </c>
      <c r="C48" s="132"/>
      <c r="D48" s="134" t="s">
        <v>10</v>
      </c>
      <c r="E48" s="134"/>
      <c r="F48" s="132" t="s">
        <v>10</v>
      </c>
      <c r="G48" s="132"/>
      <c r="H48" s="4"/>
    </row>
    <row r="49" spans="1:8" x14ac:dyDescent="0.25">
      <c r="A49" s="3" t="s">
        <v>12</v>
      </c>
      <c r="B49" s="132" t="s">
        <v>13</v>
      </c>
      <c r="C49" s="132"/>
      <c r="D49" s="134" t="s">
        <v>13</v>
      </c>
      <c r="E49" s="134"/>
      <c r="F49" s="132" t="s">
        <v>13</v>
      </c>
      <c r="G49" s="132"/>
      <c r="H49" s="2"/>
    </row>
    <row r="50" spans="1:8" x14ac:dyDescent="0.25">
      <c r="A50" s="3" t="s">
        <v>15</v>
      </c>
      <c r="B50" s="132" t="s">
        <v>16</v>
      </c>
      <c r="C50" s="132"/>
      <c r="D50" s="134" t="s">
        <v>16</v>
      </c>
      <c r="E50" s="134"/>
      <c r="F50" s="132" t="s">
        <v>16</v>
      </c>
      <c r="G50" s="132"/>
      <c r="H50" s="2"/>
    </row>
    <row r="51" spans="1:8" ht="18" x14ac:dyDescent="0.25">
      <c r="A51" s="3" t="s">
        <v>18</v>
      </c>
      <c r="B51" s="132" t="s">
        <v>19</v>
      </c>
      <c r="C51" s="132"/>
      <c r="D51" s="134" t="s">
        <v>19</v>
      </c>
      <c r="E51" s="134"/>
      <c r="F51" s="132" t="s">
        <v>19</v>
      </c>
      <c r="G51" s="132"/>
      <c r="H51" s="2"/>
    </row>
    <row r="52" spans="1:8" ht="18" x14ac:dyDescent="0.25">
      <c r="A52" s="5" t="s">
        <v>20</v>
      </c>
      <c r="B52" s="129" t="s">
        <v>21</v>
      </c>
      <c r="C52" s="129"/>
      <c r="D52" s="129" t="s">
        <v>21</v>
      </c>
      <c r="E52" s="129"/>
      <c r="F52" s="129" t="s">
        <v>21</v>
      </c>
      <c r="G52" s="129"/>
      <c r="H52" s="2"/>
    </row>
    <row r="53" spans="1:8" ht="18" x14ac:dyDescent="0.25">
      <c r="A53" s="129" t="s">
        <v>26</v>
      </c>
      <c r="B53" s="129"/>
      <c r="C53" s="129"/>
      <c r="D53" s="129"/>
      <c r="E53" s="129"/>
      <c r="F53" s="129"/>
      <c r="G53" s="129"/>
      <c r="H53" s="2"/>
    </row>
    <row r="54" spans="1:8" ht="27" x14ac:dyDescent="0.25">
      <c r="A54" s="3" t="s">
        <v>27</v>
      </c>
      <c r="B54" s="132" t="s">
        <v>28</v>
      </c>
      <c r="C54" s="132"/>
      <c r="D54" s="134" t="s">
        <v>28</v>
      </c>
      <c r="E54" s="134"/>
      <c r="F54" s="132" t="s">
        <v>28</v>
      </c>
      <c r="G54" s="132"/>
      <c r="H54" s="6"/>
    </row>
    <row r="55" spans="1:8" x14ac:dyDescent="0.25">
      <c r="A55" s="3" t="s">
        <v>29</v>
      </c>
      <c r="B55" s="132" t="s">
        <v>28</v>
      </c>
      <c r="C55" s="132"/>
      <c r="D55" s="134" t="s">
        <v>28</v>
      </c>
      <c r="E55" s="134"/>
      <c r="F55" s="132" t="s">
        <v>28</v>
      </c>
      <c r="G55" s="132"/>
      <c r="H55" s="2"/>
    </row>
    <row r="56" spans="1:8" ht="36" x14ac:dyDescent="0.25">
      <c r="A56" s="3" t="s">
        <v>30</v>
      </c>
      <c r="B56" s="132" t="s">
        <v>31</v>
      </c>
      <c r="C56" s="132"/>
      <c r="D56" s="134" t="s">
        <v>31</v>
      </c>
      <c r="E56" s="134"/>
      <c r="F56" s="132" t="s">
        <v>31</v>
      </c>
      <c r="G56" s="132"/>
      <c r="H56" s="2"/>
    </row>
    <row r="57" spans="1:8" ht="54" x14ac:dyDescent="0.25">
      <c r="A57" s="3" t="s">
        <v>32</v>
      </c>
      <c r="B57" s="132" t="s">
        <v>33</v>
      </c>
      <c r="C57" s="132"/>
      <c r="D57" s="134" t="s">
        <v>33</v>
      </c>
      <c r="E57" s="134"/>
      <c r="F57" s="132" t="s">
        <v>33</v>
      </c>
      <c r="G57" s="132"/>
      <c r="H57" s="2"/>
    </row>
    <row r="58" spans="1:8" ht="36" x14ac:dyDescent="0.25">
      <c r="A58" s="3" t="s">
        <v>34</v>
      </c>
      <c r="B58" s="132" t="s">
        <v>35</v>
      </c>
      <c r="C58" s="132"/>
      <c r="D58" s="134" t="s">
        <v>35</v>
      </c>
      <c r="E58" s="134"/>
      <c r="F58" s="132" t="s">
        <v>35</v>
      </c>
      <c r="G58" s="132"/>
      <c r="H58" s="6"/>
    </row>
    <row r="59" spans="1:8" ht="18" x14ac:dyDescent="0.25">
      <c r="A59" s="3" t="s">
        <v>36</v>
      </c>
      <c r="B59" s="132" t="s">
        <v>37</v>
      </c>
      <c r="C59" s="132"/>
      <c r="D59" s="134" t="s">
        <v>37</v>
      </c>
      <c r="E59" s="134"/>
      <c r="F59" s="132" t="s">
        <v>37</v>
      </c>
      <c r="G59" s="132"/>
      <c r="H59" s="2"/>
    </row>
    <row r="60" spans="1:8" ht="171" x14ac:dyDescent="0.25">
      <c r="A60" s="3" t="s">
        <v>38</v>
      </c>
      <c r="B60" s="132" t="s">
        <v>39</v>
      </c>
      <c r="C60" s="132"/>
      <c r="D60" s="134" t="s">
        <v>39</v>
      </c>
      <c r="E60" s="134"/>
      <c r="F60" s="132" t="s">
        <v>39</v>
      </c>
      <c r="G60" s="132"/>
      <c r="H60" s="4"/>
    </row>
    <row r="61" spans="1:8" ht="27" x14ac:dyDescent="0.25">
      <c r="A61" s="129" t="s">
        <v>40</v>
      </c>
      <c r="B61" s="129"/>
      <c r="C61" s="129"/>
      <c r="D61" s="129"/>
      <c r="E61" s="129"/>
      <c r="F61" s="129"/>
      <c r="G61" s="129"/>
      <c r="H61" s="7"/>
    </row>
    <row r="62" spans="1:8" ht="27" x14ac:dyDescent="0.25">
      <c r="A62" s="8" t="s">
        <v>40</v>
      </c>
      <c r="B62" s="8" t="s">
        <v>41</v>
      </c>
      <c r="C62" s="8" t="s">
        <v>42</v>
      </c>
      <c r="D62" s="8" t="s">
        <v>41</v>
      </c>
      <c r="E62" s="8" t="s">
        <v>42</v>
      </c>
      <c r="F62" s="8" t="s">
        <v>41</v>
      </c>
      <c r="G62" s="8" t="s">
        <v>42</v>
      </c>
      <c r="H62" s="7"/>
    </row>
    <row r="63" spans="1:8" ht="18" x14ac:dyDescent="0.25">
      <c r="A63" s="129" t="s">
        <v>67</v>
      </c>
      <c r="B63" s="129"/>
      <c r="C63" s="129"/>
      <c r="D63" s="129"/>
      <c r="E63" s="129"/>
      <c r="F63" s="129"/>
      <c r="G63" s="129"/>
      <c r="H63" s="7"/>
    </row>
    <row r="64" spans="1:8" ht="27" x14ac:dyDescent="0.25">
      <c r="A64" s="8" t="s">
        <v>68</v>
      </c>
      <c r="B64" s="8" t="s">
        <v>41</v>
      </c>
      <c r="C64" s="8" t="s">
        <v>42</v>
      </c>
      <c r="D64" s="8" t="s">
        <v>41</v>
      </c>
      <c r="E64" s="8" t="s">
        <v>42</v>
      </c>
      <c r="F64" s="8" t="s">
        <v>41</v>
      </c>
      <c r="G64" s="8" t="s">
        <v>42</v>
      </c>
      <c r="H64" s="7"/>
    </row>
    <row r="65" spans="1:8" ht="36" x14ac:dyDescent="0.25">
      <c r="A65" s="3" t="s">
        <v>71</v>
      </c>
      <c r="B65" s="9" t="s">
        <v>70</v>
      </c>
      <c r="C65" s="3" t="s">
        <v>31</v>
      </c>
      <c r="D65" s="9" t="s">
        <v>70</v>
      </c>
      <c r="E65" s="3" t="s">
        <v>31</v>
      </c>
      <c r="F65" s="9" t="s">
        <v>70</v>
      </c>
      <c r="G65" s="3" t="s">
        <v>31</v>
      </c>
      <c r="H65" s="7"/>
    </row>
    <row r="66" spans="1:8" ht="36" x14ac:dyDescent="0.25">
      <c r="A66" s="3" t="s">
        <v>73</v>
      </c>
      <c r="B66" s="9" t="s">
        <v>70</v>
      </c>
      <c r="C66" s="3" t="s">
        <v>31</v>
      </c>
      <c r="D66" s="9" t="s">
        <v>70</v>
      </c>
      <c r="E66" s="3" t="s">
        <v>31</v>
      </c>
      <c r="F66" s="9" t="s">
        <v>70</v>
      </c>
      <c r="G66" s="3" t="s">
        <v>31</v>
      </c>
      <c r="H66" s="7"/>
    </row>
    <row r="67" spans="1:8" ht="36" x14ac:dyDescent="0.25">
      <c r="A67" s="3" t="s">
        <v>74</v>
      </c>
      <c r="B67" s="9" t="s">
        <v>70</v>
      </c>
      <c r="C67" s="3" t="s">
        <v>31</v>
      </c>
      <c r="D67" s="9" t="s">
        <v>70</v>
      </c>
      <c r="E67" s="3" t="s">
        <v>31</v>
      </c>
      <c r="F67" s="9" t="s">
        <v>70</v>
      </c>
      <c r="G67" s="3" t="s">
        <v>31</v>
      </c>
      <c r="H67" s="7"/>
    </row>
    <row r="68" spans="1:8" ht="36" x14ac:dyDescent="0.25">
      <c r="A68" s="3" t="s">
        <v>77</v>
      </c>
      <c r="B68" s="9" t="s">
        <v>78</v>
      </c>
      <c r="C68" s="3" t="s">
        <v>31</v>
      </c>
      <c r="D68" s="9" t="s">
        <v>78</v>
      </c>
      <c r="E68" s="3" t="s">
        <v>31</v>
      </c>
      <c r="F68" s="9" t="s">
        <v>78</v>
      </c>
      <c r="G68" s="3" t="s">
        <v>31</v>
      </c>
      <c r="H68" s="7"/>
    </row>
    <row r="69" spans="1:8" ht="36" x14ac:dyDescent="0.25">
      <c r="A69" s="3" t="s">
        <v>79</v>
      </c>
      <c r="B69" s="9" t="s">
        <v>70</v>
      </c>
      <c r="C69" s="3" t="s">
        <v>31</v>
      </c>
      <c r="D69" s="9" t="s">
        <v>70</v>
      </c>
      <c r="E69" s="3" t="s">
        <v>31</v>
      </c>
      <c r="F69" s="9" t="s">
        <v>70</v>
      </c>
      <c r="G69" s="3" t="s">
        <v>31</v>
      </c>
      <c r="H69" s="7"/>
    </row>
    <row r="70" spans="1:8" ht="27" x14ac:dyDescent="0.25">
      <c r="A70" s="8" t="s">
        <v>80</v>
      </c>
      <c r="B70" s="8" t="s">
        <v>41</v>
      </c>
      <c r="C70" s="8" t="s">
        <v>42</v>
      </c>
      <c r="D70" s="8" t="s">
        <v>41</v>
      </c>
      <c r="E70" s="8" t="s">
        <v>42</v>
      </c>
      <c r="F70" s="8" t="s">
        <v>41</v>
      </c>
      <c r="G70" s="8" t="s">
        <v>42</v>
      </c>
      <c r="H70" s="7"/>
    </row>
    <row r="71" spans="1:8" ht="54" x14ac:dyDescent="0.25">
      <c r="A71" s="3" t="s">
        <v>81</v>
      </c>
      <c r="B71" s="9" t="s">
        <v>96</v>
      </c>
      <c r="C71" s="3" t="s">
        <v>31</v>
      </c>
      <c r="D71" s="9" t="s">
        <v>313</v>
      </c>
      <c r="E71" s="3" t="s">
        <v>31</v>
      </c>
      <c r="F71" s="9" t="s">
        <v>82</v>
      </c>
      <c r="G71" s="3" t="s">
        <v>31</v>
      </c>
      <c r="H71" s="7"/>
    </row>
    <row r="72" spans="1:8" ht="27" x14ac:dyDescent="0.25">
      <c r="A72" s="3" t="s">
        <v>86</v>
      </c>
      <c r="B72" s="9" t="s">
        <v>90</v>
      </c>
      <c r="C72" s="3" t="s">
        <v>88</v>
      </c>
      <c r="D72" s="9" t="s">
        <v>87</v>
      </c>
      <c r="E72" s="3" t="s">
        <v>88</v>
      </c>
      <c r="F72" s="9" t="s">
        <v>87</v>
      </c>
      <c r="G72" s="3" t="s">
        <v>88</v>
      </c>
      <c r="H72" s="7"/>
    </row>
    <row r="73" spans="1:8" ht="18" x14ac:dyDescent="0.25">
      <c r="A73" s="3" t="s">
        <v>91</v>
      </c>
      <c r="B73" s="9" t="s">
        <v>93</v>
      </c>
      <c r="C73" s="3" t="s">
        <v>92</v>
      </c>
      <c r="D73" s="13"/>
      <c r="E73" s="3" t="s">
        <v>92</v>
      </c>
      <c r="F73" s="13"/>
      <c r="G73" s="3" t="s">
        <v>92</v>
      </c>
      <c r="H73" s="7"/>
    </row>
    <row r="74" spans="1:8" ht="54" x14ac:dyDescent="0.25">
      <c r="A74" s="3" t="s">
        <v>95</v>
      </c>
      <c r="B74" s="9" t="s">
        <v>96</v>
      </c>
      <c r="C74" s="3" t="s">
        <v>31</v>
      </c>
      <c r="D74" s="9" t="s">
        <v>313</v>
      </c>
      <c r="E74" s="3" t="s">
        <v>31</v>
      </c>
      <c r="F74" s="9" t="s">
        <v>82</v>
      </c>
      <c r="G74" s="3" t="s">
        <v>31</v>
      </c>
      <c r="H74" s="7"/>
    </row>
    <row r="75" spans="1:8" ht="54" x14ac:dyDescent="0.25">
      <c r="A75" s="3" t="s">
        <v>97</v>
      </c>
      <c r="B75" s="9" t="s">
        <v>96</v>
      </c>
      <c r="C75" s="3" t="s">
        <v>31</v>
      </c>
      <c r="D75" s="9" t="s">
        <v>313</v>
      </c>
      <c r="E75" s="3" t="s">
        <v>31</v>
      </c>
      <c r="F75" s="9" t="s">
        <v>82</v>
      </c>
      <c r="G75" s="3" t="s">
        <v>31</v>
      </c>
      <c r="H75" s="7"/>
    </row>
    <row r="76" spans="1:8" ht="18" x14ac:dyDescent="0.25">
      <c r="A76" s="8" t="s">
        <v>102</v>
      </c>
      <c r="B76" s="8" t="s">
        <v>41</v>
      </c>
      <c r="C76" s="8" t="s">
        <v>42</v>
      </c>
      <c r="D76" s="8" t="s">
        <v>41</v>
      </c>
      <c r="E76" s="8" t="s">
        <v>42</v>
      </c>
      <c r="F76" s="8" t="s">
        <v>41</v>
      </c>
      <c r="G76" s="8" t="s">
        <v>42</v>
      </c>
      <c r="H76" s="7"/>
    </row>
    <row r="77" spans="1:8" ht="45" x14ac:dyDescent="0.25">
      <c r="A77" s="3" t="s">
        <v>105</v>
      </c>
      <c r="B77" s="9" t="s">
        <v>45</v>
      </c>
      <c r="C77" s="3" t="s">
        <v>314</v>
      </c>
      <c r="D77" s="9" t="s">
        <v>45</v>
      </c>
      <c r="E77" s="3" t="s">
        <v>31</v>
      </c>
      <c r="F77" s="9" t="s">
        <v>45</v>
      </c>
      <c r="G77" s="3" t="s">
        <v>31</v>
      </c>
      <c r="H77" s="7"/>
    </row>
    <row r="78" spans="1:8" ht="45" x14ac:dyDescent="0.25">
      <c r="A78" s="3" t="s">
        <v>108</v>
      </c>
      <c r="B78" s="9" t="s">
        <v>84</v>
      </c>
      <c r="C78" s="3" t="s">
        <v>107</v>
      </c>
      <c r="D78" s="9" t="s">
        <v>45</v>
      </c>
      <c r="E78" s="3" t="s">
        <v>31</v>
      </c>
      <c r="F78" s="9" t="s">
        <v>45</v>
      </c>
      <c r="G78" s="3" t="s">
        <v>31</v>
      </c>
      <c r="H78" s="7"/>
    </row>
    <row r="79" spans="1:8" ht="18" x14ac:dyDescent="0.25">
      <c r="A79" s="8" t="s">
        <v>109</v>
      </c>
      <c r="B79" s="8" t="s">
        <v>41</v>
      </c>
      <c r="C79" s="8" t="s">
        <v>42</v>
      </c>
      <c r="D79" s="8" t="s">
        <v>41</v>
      </c>
      <c r="E79" s="8" t="s">
        <v>42</v>
      </c>
      <c r="F79" s="8" t="s">
        <v>41</v>
      </c>
      <c r="G79" s="8" t="s">
        <v>42</v>
      </c>
      <c r="H79" s="7"/>
    </row>
    <row r="80" spans="1:8" ht="36" x14ac:dyDescent="0.25">
      <c r="A80" s="3" t="s">
        <v>114</v>
      </c>
      <c r="B80" s="9" t="s">
        <v>116</v>
      </c>
      <c r="C80" s="3" t="s">
        <v>31</v>
      </c>
      <c r="D80" s="9" t="s">
        <v>317</v>
      </c>
      <c r="E80" s="3" t="s">
        <v>31</v>
      </c>
      <c r="F80" s="9" t="s">
        <v>115</v>
      </c>
      <c r="G80" s="3" t="s">
        <v>31</v>
      </c>
      <c r="H80" s="7"/>
    </row>
    <row r="81" spans="1:8" ht="27" x14ac:dyDescent="0.25">
      <c r="A81" s="8" t="s">
        <v>117</v>
      </c>
      <c r="B81" s="8" t="s">
        <v>41</v>
      </c>
      <c r="C81" s="8" t="s">
        <v>42</v>
      </c>
      <c r="D81" s="8" t="s">
        <v>41</v>
      </c>
      <c r="E81" s="8" t="s">
        <v>42</v>
      </c>
      <c r="F81" s="8" t="s">
        <v>41</v>
      </c>
      <c r="G81" s="8" t="s">
        <v>42</v>
      </c>
      <c r="H81" s="7"/>
    </row>
    <row r="82" spans="1:8" ht="63" x14ac:dyDescent="0.25">
      <c r="A82" s="3" t="s">
        <v>118</v>
      </c>
      <c r="B82" s="9" t="s">
        <v>119</v>
      </c>
      <c r="C82" s="3" t="s">
        <v>318</v>
      </c>
      <c r="D82" s="9" t="s">
        <v>119</v>
      </c>
      <c r="E82" s="3" t="s">
        <v>120</v>
      </c>
      <c r="F82" s="9" t="s">
        <v>119</v>
      </c>
      <c r="G82" s="3" t="s">
        <v>120</v>
      </c>
      <c r="H82" s="7"/>
    </row>
    <row r="83" spans="1:8" ht="36" x14ac:dyDescent="0.25">
      <c r="A83" s="3" t="s">
        <v>122</v>
      </c>
      <c r="B83" s="9" t="s">
        <v>45</v>
      </c>
      <c r="C83" s="3" t="s">
        <v>31</v>
      </c>
      <c r="D83" s="9" t="s">
        <v>45</v>
      </c>
      <c r="E83" s="3" t="s">
        <v>31</v>
      </c>
      <c r="F83" s="9" t="s">
        <v>45</v>
      </c>
      <c r="G83" s="3" t="s">
        <v>31</v>
      </c>
      <c r="H83" s="7"/>
    </row>
    <row r="84" spans="1:8" ht="72" x14ac:dyDescent="0.25">
      <c r="A84" s="3" t="s">
        <v>123</v>
      </c>
      <c r="B84" s="9" t="s">
        <v>124</v>
      </c>
      <c r="C84" s="3" t="s">
        <v>127</v>
      </c>
      <c r="D84" s="9" t="s">
        <v>124</v>
      </c>
      <c r="E84" s="3" t="s">
        <v>125</v>
      </c>
      <c r="F84" s="9" t="s">
        <v>124</v>
      </c>
      <c r="G84" s="3" t="s">
        <v>125</v>
      </c>
      <c r="H84" s="7"/>
    </row>
    <row r="85" spans="1:8" ht="36" x14ac:dyDescent="0.25">
      <c r="A85" s="3" t="s">
        <v>128</v>
      </c>
      <c r="B85" s="9" t="s">
        <v>45</v>
      </c>
      <c r="C85" s="3" t="s">
        <v>31</v>
      </c>
      <c r="D85" s="9" t="s">
        <v>45</v>
      </c>
      <c r="E85" s="3" t="s">
        <v>31</v>
      </c>
      <c r="F85" s="9" t="s">
        <v>45</v>
      </c>
      <c r="G85" s="3" t="s">
        <v>31</v>
      </c>
      <c r="H85" s="7"/>
    </row>
    <row r="86" spans="1:8" ht="36" x14ac:dyDescent="0.25">
      <c r="A86" s="3" t="s">
        <v>129</v>
      </c>
      <c r="B86" s="9" t="s">
        <v>45</v>
      </c>
      <c r="C86" s="3" t="s">
        <v>31</v>
      </c>
      <c r="D86" s="9" t="s">
        <v>45</v>
      </c>
      <c r="E86" s="3" t="s">
        <v>31</v>
      </c>
      <c r="F86" s="9" t="s">
        <v>45</v>
      </c>
      <c r="G86" s="3" t="s">
        <v>31</v>
      </c>
      <c r="H86" s="7"/>
    </row>
    <row r="87" spans="1:8" ht="18" x14ac:dyDescent="0.25">
      <c r="A87" s="130" t="s">
        <v>130</v>
      </c>
      <c r="B87" s="130" t="s">
        <v>41</v>
      </c>
      <c r="C87" s="130" t="s">
        <v>42</v>
      </c>
      <c r="D87" s="130" t="s">
        <v>41</v>
      </c>
      <c r="E87" s="130" t="s">
        <v>42</v>
      </c>
      <c r="F87" s="130" t="s">
        <v>41</v>
      </c>
      <c r="G87" s="130" t="s">
        <v>42</v>
      </c>
      <c r="H87" s="7"/>
    </row>
    <row r="88" spans="1:8" ht="27" x14ac:dyDescent="0.25">
      <c r="A88" s="8" t="s">
        <v>136</v>
      </c>
      <c r="B88" s="8" t="s">
        <v>41</v>
      </c>
      <c r="C88" s="8" t="s">
        <v>42</v>
      </c>
      <c r="D88" s="8" t="s">
        <v>41</v>
      </c>
      <c r="E88" s="8" t="s">
        <v>42</v>
      </c>
      <c r="F88" s="8" t="s">
        <v>41</v>
      </c>
      <c r="G88" s="8" t="s">
        <v>42</v>
      </c>
      <c r="H88" s="7"/>
    </row>
    <row r="89" spans="1:8" ht="36" x14ac:dyDescent="0.25">
      <c r="A89" s="3" t="s">
        <v>85</v>
      </c>
      <c r="B89" s="9" t="s">
        <v>137</v>
      </c>
      <c r="C89" s="3" t="s">
        <v>31</v>
      </c>
      <c r="D89" s="9" t="s">
        <v>247</v>
      </c>
      <c r="E89" s="3" t="s">
        <v>31</v>
      </c>
      <c r="F89" s="9" t="s">
        <v>48</v>
      </c>
      <c r="G89" s="3" t="s">
        <v>31</v>
      </c>
      <c r="H89" s="7"/>
    </row>
    <row r="90" spans="1:8" ht="36" x14ac:dyDescent="0.25">
      <c r="A90" s="3" t="s">
        <v>138</v>
      </c>
      <c r="B90" s="9" t="s">
        <v>139</v>
      </c>
      <c r="C90" s="3" t="s">
        <v>31</v>
      </c>
      <c r="D90" s="9" t="s">
        <v>87</v>
      </c>
      <c r="E90" s="3" t="s">
        <v>31</v>
      </c>
      <c r="F90" s="9" t="s">
        <v>87</v>
      </c>
      <c r="G90" s="3" t="s">
        <v>31</v>
      </c>
      <c r="H90" s="7"/>
    </row>
    <row r="91" spans="1:8" ht="36" x14ac:dyDescent="0.25">
      <c r="A91" s="8" t="s">
        <v>144</v>
      </c>
      <c r="B91" s="8" t="s">
        <v>41</v>
      </c>
      <c r="C91" s="8" t="s">
        <v>42</v>
      </c>
      <c r="D91" s="8" t="s">
        <v>41</v>
      </c>
      <c r="E91" s="8" t="s">
        <v>42</v>
      </c>
      <c r="F91" s="8" t="s">
        <v>41</v>
      </c>
      <c r="G91" s="8" t="s">
        <v>42</v>
      </c>
      <c r="H91" s="7"/>
    </row>
    <row r="92" spans="1:8" ht="18" x14ac:dyDescent="0.25">
      <c r="A92" s="8" t="s">
        <v>151</v>
      </c>
      <c r="B92" s="8" t="s">
        <v>41</v>
      </c>
      <c r="C92" s="8" t="s">
        <v>42</v>
      </c>
      <c r="D92" s="8" t="s">
        <v>41</v>
      </c>
      <c r="E92" s="8" t="s">
        <v>42</v>
      </c>
      <c r="F92" s="8" t="s">
        <v>41</v>
      </c>
      <c r="G92" s="8" t="s">
        <v>42</v>
      </c>
      <c r="H92" s="7"/>
    </row>
    <row r="93" spans="1:8" ht="63" x14ac:dyDescent="0.25">
      <c r="A93" s="3" t="s">
        <v>152</v>
      </c>
      <c r="B93" s="9" t="s">
        <v>153</v>
      </c>
      <c r="C93" s="3" t="s">
        <v>156</v>
      </c>
      <c r="D93" s="9" t="s">
        <v>153</v>
      </c>
      <c r="E93" s="3" t="s">
        <v>154</v>
      </c>
      <c r="F93" s="9" t="s">
        <v>153</v>
      </c>
      <c r="G93" s="3" t="s">
        <v>154</v>
      </c>
      <c r="H93" s="7"/>
    </row>
    <row r="94" spans="1:8" ht="54" x14ac:dyDescent="0.25">
      <c r="A94" s="3" t="s">
        <v>157</v>
      </c>
      <c r="B94" s="9" t="s">
        <v>160</v>
      </c>
      <c r="C94" s="3" t="s">
        <v>159</v>
      </c>
      <c r="D94" s="9" t="s">
        <v>158</v>
      </c>
      <c r="E94" s="3" t="s">
        <v>159</v>
      </c>
      <c r="F94" s="9" t="s">
        <v>158</v>
      </c>
      <c r="G94" s="3" t="s">
        <v>159</v>
      </c>
      <c r="H94" s="7"/>
    </row>
    <row r="95" spans="1:8" ht="54" x14ac:dyDescent="0.25">
      <c r="A95" s="3" t="s">
        <v>162</v>
      </c>
      <c r="B95" s="9" t="s">
        <v>163</v>
      </c>
      <c r="C95" s="3" t="s">
        <v>164</v>
      </c>
      <c r="D95" s="9" t="s">
        <v>163</v>
      </c>
      <c r="E95" s="3" t="s">
        <v>164</v>
      </c>
      <c r="F95" s="9" t="s">
        <v>163</v>
      </c>
      <c r="G95" s="3" t="s">
        <v>164</v>
      </c>
      <c r="H95" s="7"/>
    </row>
    <row r="96" spans="1:8" ht="54" x14ac:dyDescent="0.25">
      <c r="A96" s="16"/>
      <c r="B96" s="9" t="s">
        <v>327</v>
      </c>
      <c r="C96" s="3" t="s">
        <v>327</v>
      </c>
      <c r="D96" s="9" t="s">
        <v>328</v>
      </c>
      <c r="E96" s="3" t="s">
        <v>327</v>
      </c>
      <c r="F96" s="9" t="s">
        <v>328</v>
      </c>
      <c r="G96" s="3" t="s">
        <v>327</v>
      </c>
      <c r="H96" s="4"/>
    </row>
    <row r="97" spans="1:8" ht="36" x14ac:dyDescent="0.25">
      <c r="A97" s="10" t="s">
        <v>174</v>
      </c>
      <c r="B97" s="11" t="s">
        <v>173</v>
      </c>
      <c r="C97" s="10" t="s">
        <v>173</v>
      </c>
      <c r="D97" s="11" t="s">
        <v>173</v>
      </c>
      <c r="E97" s="10" t="s">
        <v>173</v>
      </c>
      <c r="F97" s="11" t="s">
        <v>173</v>
      </c>
      <c r="G97" s="10" t="s">
        <v>173</v>
      </c>
      <c r="H97" s="85"/>
    </row>
    <row r="98" spans="1:8" ht="36" x14ac:dyDescent="0.25">
      <c r="A98" s="15" t="s">
        <v>176</v>
      </c>
      <c r="B98" s="12" t="s">
        <v>137</v>
      </c>
      <c r="C98" s="15" t="s">
        <v>31</v>
      </c>
      <c r="D98" s="12" t="s">
        <v>247</v>
      </c>
      <c r="E98" s="15" t="s">
        <v>31</v>
      </c>
      <c r="F98" s="12" t="s">
        <v>48</v>
      </c>
      <c r="G98" s="15" t="s">
        <v>31</v>
      </c>
      <c r="H98" s="85"/>
    </row>
    <row r="99" spans="1:8" ht="72" x14ac:dyDescent="0.25">
      <c r="A99" s="3" t="s">
        <v>177</v>
      </c>
      <c r="B99" s="9" t="s">
        <v>178</v>
      </c>
      <c r="C99" s="3" t="s">
        <v>179</v>
      </c>
      <c r="D99" s="9" t="s">
        <v>178</v>
      </c>
      <c r="E99" s="3" t="s">
        <v>179</v>
      </c>
      <c r="F99" s="9" t="s">
        <v>178</v>
      </c>
      <c r="G99" s="3" t="s">
        <v>179</v>
      </c>
      <c r="H99" s="4"/>
    </row>
    <row r="100" spans="1:8" ht="18" x14ac:dyDescent="0.25">
      <c r="A100" s="8" t="s">
        <v>180</v>
      </c>
      <c r="B100" s="8" t="s">
        <v>41</v>
      </c>
      <c r="C100" s="8" t="s">
        <v>42</v>
      </c>
      <c r="D100" s="8" t="s">
        <v>41</v>
      </c>
      <c r="E100" s="8" t="s">
        <v>42</v>
      </c>
      <c r="F100" s="8" t="s">
        <v>41</v>
      </c>
      <c r="G100" s="8" t="s">
        <v>42</v>
      </c>
      <c r="H100" s="2"/>
    </row>
    <row r="101" spans="1:8" ht="36" x14ac:dyDescent="0.25">
      <c r="A101" s="3" t="s">
        <v>185</v>
      </c>
      <c r="B101" s="9" t="s">
        <v>137</v>
      </c>
      <c r="C101" s="3" t="s">
        <v>31</v>
      </c>
      <c r="D101" s="9" t="s">
        <v>247</v>
      </c>
      <c r="E101" s="3" t="s">
        <v>31</v>
      </c>
      <c r="F101" s="9" t="s">
        <v>48</v>
      </c>
      <c r="G101" s="3" t="s">
        <v>31</v>
      </c>
      <c r="H101" s="6"/>
    </row>
    <row r="102" spans="1:8" ht="54" x14ac:dyDescent="0.25">
      <c r="A102" s="3" t="s">
        <v>189</v>
      </c>
      <c r="B102" s="9" t="s">
        <v>329</v>
      </c>
      <c r="C102" s="3" t="s">
        <v>183</v>
      </c>
      <c r="D102" s="9" t="s">
        <v>289</v>
      </c>
      <c r="E102" s="3" t="s">
        <v>183</v>
      </c>
      <c r="F102" s="9" t="s">
        <v>190</v>
      </c>
      <c r="G102" s="3" t="s">
        <v>183</v>
      </c>
      <c r="H102" s="4"/>
    </row>
    <row r="103" spans="1:8" ht="45" customHeight="1" x14ac:dyDescent="0.25">
      <c r="A103" s="10" t="s">
        <v>192</v>
      </c>
      <c r="B103" s="11" t="s">
        <v>193</v>
      </c>
      <c r="C103" s="10" t="s">
        <v>193</v>
      </c>
      <c r="D103" s="11" t="s">
        <v>193</v>
      </c>
      <c r="E103" s="10" t="s">
        <v>193</v>
      </c>
      <c r="F103" s="11" t="s">
        <v>193</v>
      </c>
      <c r="G103" s="10" t="s">
        <v>193</v>
      </c>
      <c r="H103" s="84"/>
    </row>
    <row r="104" spans="1:8" ht="18" x14ac:dyDescent="0.25">
      <c r="A104" s="143" t="s">
        <v>194</v>
      </c>
      <c r="B104" s="143" t="s">
        <v>41</v>
      </c>
      <c r="C104" s="143" t="s">
        <v>42</v>
      </c>
      <c r="D104" s="143" t="s">
        <v>41</v>
      </c>
      <c r="E104" s="143" t="s">
        <v>42</v>
      </c>
      <c r="F104" s="143" t="s">
        <v>41</v>
      </c>
      <c r="G104" s="143" t="s">
        <v>42</v>
      </c>
      <c r="H104" s="137"/>
    </row>
    <row r="105" spans="1:8" ht="18" x14ac:dyDescent="0.25">
      <c r="A105" s="15" t="s">
        <v>195</v>
      </c>
      <c r="B105" s="12" t="s">
        <v>112</v>
      </c>
      <c r="C105" s="15" t="s">
        <v>112</v>
      </c>
      <c r="D105" s="12" t="s">
        <v>112</v>
      </c>
      <c r="E105" s="15" t="s">
        <v>112</v>
      </c>
      <c r="F105" s="12" t="s">
        <v>112</v>
      </c>
      <c r="G105" s="15" t="s">
        <v>112</v>
      </c>
      <c r="H105" s="137"/>
    </row>
    <row r="106" spans="1:8" ht="54" x14ac:dyDescent="0.25">
      <c r="A106" s="3" t="s">
        <v>202</v>
      </c>
      <c r="B106" s="9" t="s">
        <v>173</v>
      </c>
      <c r="C106" s="3" t="s">
        <v>203</v>
      </c>
      <c r="D106" s="9" t="s">
        <v>173</v>
      </c>
      <c r="E106" s="3" t="s">
        <v>203</v>
      </c>
      <c r="F106" s="9" t="s">
        <v>173</v>
      </c>
      <c r="G106" s="3" t="s">
        <v>203</v>
      </c>
      <c r="H106" s="4"/>
    </row>
    <row r="107" spans="1:8" ht="117" x14ac:dyDescent="0.25">
      <c r="A107" s="3" t="s">
        <v>204</v>
      </c>
      <c r="B107" s="9" t="s">
        <v>296</v>
      </c>
      <c r="C107" s="3" t="s">
        <v>298</v>
      </c>
      <c r="D107" s="9" t="s">
        <v>296</v>
      </c>
      <c r="E107" s="3" t="s">
        <v>298</v>
      </c>
      <c r="F107" s="9" t="s">
        <v>296</v>
      </c>
      <c r="G107" s="3" t="s">
        <v>298</v>
      </c>
      <c r="H10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"/>
  <sheetViews>
    <sheetView workbookViewId="0"/>
  </sheetViews>
  <sheetFormatPr defaultRowHeight="15" x14ac:dyDescent="0.25"/>
  <sheetData>
    <row r="1" spans="1:10" ht="18" customHeight="1" x14ac:dyDescent="0.25">
      <c r="A1" s="1"/>
      <c r="B1" s="124" t="s">
        <v>332</v>
      </c>
      <c r="C1" s="125"/>
      <c r="D1" s="124" t="s">
        <v>333</v>
      </c>
      <c r="E1" s="125"/>
      <c r="F1" s="124" t="s">
        <v>334</v>
      </c>
      <c r="G1" s="125"/>
      <c r="H1" s="124" t="s">
        <v>335</v>
      </c>
      <c r="I1" s="126"/>
      <c r="J1" s="2"/>
    </row>
    <row r="2" spans="1:10" ht="14.25" customHeight="1" x14ac:dyDescent="0.25">
      <c r="A2" s="127" t="s">
        <v>22</v>
      </c>
      <c r="B2" s="122">
        <v>815.8</v>
      </c>
      <c r="C2" s="122"/>
      <c r="D2" s="133">
        <v>617.86</v>
      </c>
      <c r="E2" s="133"/>
      <c r="F2" s="122">
        <v>706.9</v>
      </c>
      <c r="G2" s="122"/>
      <c r="H2" s="133">
        <v>438.64</v>
      </c>
      <c r="I2" s="133"/>
      <c r="J2" s="2"/>
    </row>
    <row r="3" spans="1:10" ht="14.25" customHeight="1" x14ac:dyDescent="0.25">
      <c r="A3" s="96" t="s">
        <v>23</v>
      </c>
      <c r="B3" s="118">
        <v>1631.59</v>
      </c>
      <c r="C3" s="119"/>
      <c r="D3" s="120">
        <v>1235.73</v>
      </c>
      <c r="E3" s="121"/>
      <c r="F3" s="118">
        <v>1413.81</v>
      </c>
      <c r="G3" s="119"/>
      <c r="H3" s="120">
        <v>877.27</v>
      </c>
      <c r="I3" s="133"/>
      <c r="J3" s="2"/>
    </row>
    <row r="4" spans="1:10" ht="18" customHeight="1" x14ac:dyDescent="0.25">
      <c r="A4" s="96" t="s">
        <v>24</v>
      </c>
      <c r="B4" s="118">
        <v>1386.86</v>
      </c>
      <c r="C4" s="119"/>
      <c r="D4" s="120">
        <v>1050.3699999999999</v>
      </c>
      <c r="E4" s="121"/>
      <c r="F4" s="118">
        <v>1201.74</v>
      </c>
      <c r="G4" s="119"/>
      <c r="H4" s="120">
        <v>745.68</v>
      </c>
      <c r="I4" s="133"/>
      <c r="J4" s="2"/>
    </row>
    <row r="5" spans="1:10" x14ac:dyDescent="0.25">
      <c r="A5" s="96" t="s">
        <v>25</v>
      </c>
      <c r="B5" s="118">
        <v>2325.02</v>
      </c>
      <c r="C5" s="119"/>
      <c r="D5" s="120">
        <v>1760.92</v>
      </c>
      <c r="E5" s="121"/>
      <c r="F5" s="118">
        <v>2014.67</v>
      </c>
      <c r="G5" s="119"/>
      <c r="H5" s="120">
        <v>1250.1099999999999</v>
      </c>
      <c r="I5" s="133"/>
      <c r="J5" s="2"/>
    </row>
    <row r="6" spans="1:10" ht="63" customHeight="1" x14ac:dyDescent="0.25">
      <c r="A6" s="96" t="s">
        <v>43</v>
      </c>
      <c r="B6" s="81" t="s">
        <v>343</v>
      </c>
      <c r="C6" s="82" t="s">
        <v>45</v>
      </c>
      <c r="D6" s="81" t="s">
        <v>344</v>
      </c>
      <c r="E6" s="82" t="s">
        <v>31</v>
      </c>
      <c r="F6" s="81" t="s">
        <v>46</v>
      </c>
      <c r="G6" s="82" t="s">
        <v>31</v>
      </c>
      <c r="H6" s="81" t="s">
        <v>173</v>
      </c>
      <c r="I6" s="89" t="s">
        <v>218</v>
      </c>
      <c r="J6" s="7"/>
    </row>
    <row r="7" spans="1:10" ht="14.25" customHeight="1" x14ac:dyDescent="0.25">
      <c r="A7" s="96" t="s">
        <v>47</v>
      </c>
      <c r="B7" s="81" t="s">
        <v>345</v>
      </c>
      <c r="C7" s="82" t="s">
        <v>45</v>
      </c>
      <c r="D7" s="81" t="s">
        <v>346</v>
      </c>
      <c r="E7" s="82" t="s">
        <v>31</v>
      </c>
      <c r="F7" s="81" t="s">
        <v>49</v>
      </c>
      <c r="G7" s="82" t="s">
        <v>31</v>
      </c>
      <c r="H7" s="81" t="s">
        <v>173</v>
      </c>
      <c r="I7" s="89" t="s">
        <v>218</v>
      </c>
      <c r="J7" s="7"/>
    </row>
    <row r="8" spans="1:10" ht="18" x14ac:dyDescent="0.25">
      <c r="A8" s="96" t="s">
        <v>50</v>
      </c>
      <c r="B8" s="81" t="s">
        <v>66</v>
      </c>
      <c r="C8" s="82" t="s">
        <v>51</v>
      </c>
      <c r="D8" s="81" t="s">
        <v>53</v>
      </c>
      <c r="E8" s="82" t="s">
        <v>52</v>
      </c>
      <c r="F8" s="81" t="s">
        <v>53</v>
      </c>
      <c r="G8" s="82" t="s">
        <v>52</v>
      </c>
      <c r="H8" s="81" t="s">
        <v>287</v>
      </c>
      <c r="I8" s="89" t="s">
        <v>53</v>
      </c>
      <c r="J8" s="7"/>
    </row>
    <row r="9" spans="1:10" ht="45" x14ac:dyDescent="0.25">
      <c r="A9" s="128" t="s">
        <v>54</v>
      </c>
      <c r="B9" s="113" t="s">
        <v>66</v>
      </c>
      <c r="C9" s="82" t="s">
        <v>347</v>
      </c>
      <c r="D9" s="113" t="s">
        <v>350</v>
      </c>
      <c r="E9" s="82" t="s">
        <v>347</v>
      </c>
      <c r="F9" s="113" t="s">
        <v>213</v>
      </c>
      <c r="G9" s="82" t="s">
        <v>347</v>
      </c>
      <c r="H9" s="113" t="s">
        <v>351</v>
      </c>
      <c r="I9" s="89" t="s">
        <v>347</v>
      </c>
      <c r="J9" s="138"/>
    </row>
    <row r="10" spans="1:10" ht="18" x14ac:dyDescent="0.25">
      <c r="A10" s="128"/>
      <c r="B10" s="113"/>
      <c r="C10" s="82" t="s">
        <v>348</v>
      </c>
      <c r="D10" s="113"/>
      <c r="E10" s="82" t="s">
        <v>348</v>
      </c>
      <c r="F10" s="113"/>
      <c r="G10" s="82" t="s">
        <v>348</v>
      </c>
      <c r="H10" s="113"/>
      <c r="I10" s="89" t="s">
        <v>352</v>
      </c>
      <c r="J10" s="138"/>
    </row>
    <row r="11" spans="1:10" ht="18" x14ac:dyDescent="0.25">
      <c r="A11" s="128"/>
      <c r="B11" s="113"/>
      <c r="C11" s="82" t="s">
        <v>349</v>
      </c>
      <c r="D11" s="113"/>
      <c r="E11" s="82" t="s">
        <v>349</v>
      </c>
      <c r="F11" s="113"/>
      <c r="G11" s="82" t="s">
        <v>349</v>
      </c>
      <c r="H11" s="113"/>
      <c r="I11" s="89" t="s">
        <v>353</v>
      </c>
      <c r="J11" s="138"/>
    </row>
    <row r="12" spans="1:10" ht="18" x14ac:dyDescent="0.25">
      <c r="A12" s="128" t="s">
        <v>60</v>
      </c>
      <c r="B12" s="81" t="s">
        <v>354</v>
      </c>
      <c r="C12" s="82" t="s">
        <v>352</v>
      </c>
      <c r="D12" s="81" t="s">
        <v>355</v>
      </c>
      <c r="E12" s="82" t="s">
        <v>352</v>
      </c>
      <c r="F12" s="81" t="s">
        <v>357</v>
      </c>
      <c r="G12" s="82" t="s">
        <v>352</v>
      </c>
      <c r="H12" s="81" t="s">
        <v>359</v>
      </c>
      <c r="I12" s="89" t="s">
        <v>352</v>
      </c>
      <c r="J12" s="138"/>
    </row>
    <row r="13" spans="1:10" ht="18" x14ac:dyDescent="0.25">
      <c r="A13" s="128"/>
      <c r="B13" s="81" t="s">
        <v>59</v>
      </c>
      <c r="C13" s="82" t="s">
        <v>353</v>
      </c>
      <c r="D13" s="81" t="s">
        <v>356</v>
      </c>
      <c r="E13" s="82" t="s">
        <v>353</v>
      </c>
      <c r="F13" s="81" t="s">
        <v>358</v>
      </c>
      <c r="G13" s="82" t="s">
        <v>353</v>
      </c>
      <c r="H13" s="81" t="s">
        <v>360</v>
      </c>
      <c r="I13" s="89" t="s">
        <v>353</v>
      </c>
      <c r="J13" s="138"/>
    </row>
    <row r="14" spans="1:10" ht="36" x14ac:dyDescent="0.25">
      <c r="A14" s="96" t="s">
        <v>69</v>
      </c>
      <c r="B14" s="81" t="s">
        <v>70</v>
      </c>
      <c r="C14" s="82" t="s">
        <v>45</v>
      </c>
      <c r="D14" s="81" t="s">
        <v>70</v>
      </c>
      <c r="E14" s="82" t="s">
        <v>31</v>
      </c>
      <c r="F14" s="81" t="s">
        <v>70</v>
      </c>
      <c r="G14" s="82" t="s">
        <v>31</v>
      </c>
      <c r="H14" s="81" t="s">
        <v>70</v>
      </c>
      <c r="I14" s="89" t="s">
        <v>218</v>
      </c>
      <c r="J14" s="7"/>
    </row>
    <row r="15" spans="1:10" ht="36" x14ac:dyDescent="0.25">
      <c r="A15" s="127" t="s">
        <v>72</v>
      </c>
      <c r="B15" s="83" t="s">
        <v>70</v>
      </c>
      <c r="C15" s="89" t="s">
        <v>45</v>
      </c>
      <c r="D15" s="83" t="s">
        <v>70</v>
      </c>
      <c r="E15" s="89" t="s">
        <v>31</v>
      </c>
      <c r="F15" s="83" t="s">
        <v>70</v>
      </c>
      <c r="G15" s="89" t="s">
        <v>31</v>
      </c>
      <c r="H15" s="83" t="s">
        <v>70</v>
      </c>
      <c r="I15" s="89" t="s">
        <v>218</v>
      </c>
      <c r="J15" s="7"/>
    </row>
    <row r="16" spans="1:10" ht="36" x14ac:dyDescent="0.25">
      <c r="A16" s="96" t="s">
        <v>75</v>
      </c>
      <c r="B16" s="81" t="s">
        <v>70</v>
      </c>
      <c r="C16" s="82" t="s">
        <v>45</v>
      </c>
      <c r="D16" s="81" t="s">
        <v>70</v>
      </c>
      <c r="E16" s="82" t="s">
        <v>31</v>
      </c>
      <c r="F16" s="81" t="s">
        <v>70</v>
      </c>
      <c r="G16" s="82" t="s">
        <v>31</v>
      </c>
      <c r="H16" s="81" t="s">
        <v>70</v>
      </c>
      <c r="I16" s="89" t="s">
        <v>218</v>
      </c>
      <c r="J16" s="7"/>
    </row>
    <row r="17" spans="1:10" ht="36" x14ac:dyDescent="0.25">
      <c r="A17" s="96" t="s">
        <v>76</v>
      </c>
      <c r="B17" s="81" t="s">
        <v>70</v>
      </c>
      <c r="C17" s="82" t="s">
        <v>45</v>
      </c>
      <c r="D17" s="81" t="s">
        <v>70</v>
      </c>
      <c r="E17" s="82" t="s">
        <v>31</v>
      </c>
      <c r="F17" s="81" t="s">
        <v>70</v>
      </c>
      <c r="G17" s="82" t="s">
        <v>31</v>
      </c>
      <c r="H17" s="81" t="s">
        <v>70</v>
      </c>
      <c r="I17" s="89" t="s">
        <v>218</v>
      </c>
      <c r="J17" s="7"/>
    </row>
    <row r="18" spans="1:10" ht="18" customHeight="1" x14ac:dyDescent="0.25">
      <c r="A18" s="96" t="s">
        <v>83</v>
      </c>
      <c r="B18" s="81" t="s">
        <v>70</v>
      </c>
      <c r="C18" s="82" t="s">
        <v>45</v>
      </c>
      <c r="D18" s="81" t="s">
        <v>70</v>
      </c>
      <c r="E18" s="82" t="s">
        <v>31</v>
      </c>
      <c r="F18" s="81" t="s">
        <v>70</v>
      </c>
      <c r="G18" s="82" t="s">
        <v>31</v>
      </c>
      <c r="H18" s="81" t="s">
        <v>84</v>
      </c>
      <c r="I18" s="89" t="s">
        <v>218</v>
      </c>
      <c r="J18" s="7"/>
    </row>
    <row r="19" spans="1:10" ht="27" customHeight="1" x14ac:dyDescent="0.25">
      <c r="A19" s="96" t="s">
        <v>85</v>
      </c>
      <c r="B19" s="81" t="s">
        <v>364</v>
      </c>
      <c r="C19" s="82" t="s">
        <v>45</v>
      </c>
      <c r="D19" s="81" t="s">
        <v>366</v>
      </c>
      <c r="E19" s="82" t="s">
        <v>31</v>
      </c>
      <c r="F19" s="81" t="s">
        <v>367</v>
      </c>
      <c r="G19" s="82" t="s">
        <v>31</v>
      </c>
      <c r="H19" s="81" t="s">
        <v>173</v>
      </c>
      <c r="I19" s="89" t="s">
        <v>218</v>
      </c>
      <c r="J19" s="7"/>
    </row>
    <row r="20" spans="1:10" ht="18" customHeight="1" x14ac:dyDescent="0.25">
      <c r="A20" s="96" t="s">
        <v>94</v>
      </c>
      <c r="B20" s="81" t="s">
        <v>364</v>
      </c>
      <c r="C20" s="82" t="s">
        <v>45</v>
      </c>
      <c r="D20" s="81" t="s">
        <v>365</v>
      </c>
      <c r="E20" s="82" t="s">
        <v>31</v>
      </c>
      <c r="F20" s="81" t="s">
        <v>96</v>
      </c>
      <c r="G20" s="82" t="s">
        <v>31</v>
      </c>
      <c r="H20" s="81" t="s">
        <v>173</v>
      </c>
      <c r="I20" s="89" t="s">
        <v>218</v>
      </c>
      <c r="J20" s="7"/>
    </row>
    <row r="21" spans="1:10" ht="36" x14ac:dyDescent="0.25">
      <c r="A21" s="96" t="s">
        <v>98</v>
      </c>
      <c r="B21" s="81" t="s">
        <v>369</v>
      </c>
      <c r="C21" s="82" t="s">
        <v>45</v>
      </c>
      <c r="D21" s="81" t="s">
        <v>370</v>
      </c>
      <c r="E21" s="82" t="s">
        <v>31</v>
      </c>
      <c r="F21" s="81" t="s">
        <v>99</v>
      </c>
      <c r="G21" s="82" t="s">
        <v>31</v>
      </c>
      <c r="H21" s="81" t="s">
        <v>173</v>
      </c>
      <c r="I21" s="89" t="s">
        <v>218</v>
      </c>
      <c r="J21" s="7"/>
    </row>
    <row r="22" spans="1:10" ht="18" customHeight="1" x14ac:dyDescent="0.25">
      <c r="A22" s="99" t="s">
        <v>100</v>
      </c>
      <c r="B22" s="93" t="s">
        <v>369</v>
      </c>
      <c r="C22" s="94" t="s">
        <v>45</v>
      </c>
      <c r="D22" s="93" t="s">
        <v>370</v>
      </c>
      <c r="E22" s="94" t="s">
        <v>31</v>
      </c>
      <c r="F22" s="93" t="s">
        <v>99</v>
      </c>
      <c r="G22" s="94" t="s">
        <v>31</v>
      </c>
      <c r="H22" s="93" t="s">
        <v>173</v>
      </c>
      <c r="I22" s="91" t="s">
        <v>218</v>
      </c>
      <c r="J22" s="7"/>
    </row>
    <row r="23" spans="1:10" ht="36" customHeight="1" x14ac:dyDescent="0.25">
      <c r="A23" s="98" t="s">
        <v>103</v>
      </c>
      <c r="B23" s="90" t="s">
        <v>104</v>
      </c>
      <c r="C23" s="95" t="s">
        <v>45</v>
      </c>
      <c r="D23" s="90" t="s">
        <v>104</v>
      </c>
      <c r="E23" s="95" t="s">
        <v>31</v>
      </c>
      <c r="F23" s="90" t="s">
        <v>104</v>
      </c>
      <c r="G23" s="95" t="s">
        <v>31</v>
      </c>
      <c r="H23" s="90" t="s">
        <v>104</v>
      </c>
      <c r="I23" s="92" t="s">
        <v>218</v>
      </c>
      <c r="J23" s="7"/>
    </row>
    <row r="24" spans="1:10" ht="27" customHeight="1" x14ac:dyDescent="0.25">
      <c r="A24" s="96" t="s">
        <v>110</v>
      </c>
      <c r="B24" s="81" t="s">
        <v>375</v>
      </c>
      <c r="C24" s="82" t="s">
        <v>112</v>
      </c>
      <c r="D24" s="81" t="s">
        <v>223</v>
      </c>
      <c r="E24" s="82" t="s">
        <v>112</v>
      </c>
      <c r="F24" s="81" t="s">
        <v>223</v>
      </c>
      <c r="G24" s="82" t="s">
        <v>112</v>
      </c>
      <c r="H24" s="81" t="s">
        <v>376</v>
      </c>
      <c r="I24" s="89" t="s">
        <v>112</v>
      </c>
      <c r="J24" s="7"/>
    </row>
    <row r="25" spans="1:10" ht="14.25" customHeight="1" x14ac:dyDescent="0.25">
      <c r="A25" s="127" t="s">
        <v>131</v>
      </c>
      <c r="B25" s="83" t="s">
        <v>87</v>
      </c>
      <c r="C25" s="89" t="s">
        <v>87</v>
      </c>
      <c r="D25" s="83" t="s">
        <v>387</v>
      </c>
      <c r="E25" s="89" t="s">
        <v>387</v>
      </c>
      <c r="F25" s="83" t="s">
        <v>133</v>
      </c>
      <c r="G25" s="89" t="s">
        <v>133</v>
      </c>
      <c r="H25" s="83" t="s">
        <v>173</v>
      </c>
      <c r="I25" s="89" t="s">
        <v>173</v>
      </c>
      <c r="J25" s="7"/>
    </row>
    <row r="26" spans="1:10" ht="36" x14ac:dyDescent="0.25">
      <c r="A26" s="96" t="s">
        <v>134</v>
      </c>
      <c r="B26" s="9" t="s">
        <v>388</v>
      </c>
      <c r="C26" s="3" t="s">
        <v>45</v>
      </c>
      <c r="D26" s="9" t="s">
        <v>389</v>
      </c>
      <c r="E26" s="3" t="s">
        <v>31</v>
      </c>
      <c r="F26" s="9" t="s">
        <v>227</v>
      </c>
      <c r="G26" s="3" t="s">
        <v>31</v>
      </c>
      <c r="H26" s="9" t="s">
        <v>173</v>
      </c>
      <c r="I26" s="3" t="s">
        <v>218</v>
      </c>
      <c r="J26" s="7"/>
    </row>
    <row r="27" spans="1:10" ht="36" x14ac:dyDescent="0.25">
      <c r="A27" s="96" t="s">
        <v>135</v>
      </c>
      <c r="B27" s="9" t="s">
        <v>87</v>
      </c>
      <c r="C27" s="3" t="s">
        <v>87</v>
      </c>
      <c r="D27" s="9" t="s">
        <v>133</v>
      </c>
      <c r="E27" s="3" t="s">
        <v>133</v>
      </c>
      <c r="F27" s="9" t="s">
        <v>133</v>
      </c>
      <c r="G27" s="3" t="s">
        <v>133</v>
      </c>
      <c r="H27" s="9" t="s">
        <v>173</v>
      </c>
      <c r="I27" s="3" t="s">
        <v>173</v>
      </c>
      <c r="J27" s="7"/>
    </row>
    <row r="28" spans="1:10" ht="36" x14ac:dyDescent="0.25">
      <c r="A28" s="96" t="s">
        <v>94</v>
      </c>
      <c r="B28" s="9" t="s">
        <v>345</v>
      </c>
      <c r="C28" s="3" t="s">
        <v>45</v>
      </c>
      <c r="D28" s="9" t="s">
        <v>390</v>
      </c>
      <c r="E28" s="3" t="s">
        <v>31</v>
      </c>
      <c r="F28" s="9" t="s">
        <v>137</v>
      </c>
      <c r="G28" s="3" t="s">
        <v>31</v>
      </c>
      <c r="H28" s="9" t="s">
        <v>173</v>
      </c>
      <c r="I28" s="3" t="s">
        <v>218</v>
      </c>
      <c r="J28" s="7"/>
    </row>
    <row r="29" spans="1:10" ht="36" x14ac:dyDescent="0.25">
      <c r="A29" s="96" t="s">
        <v>141</v>
      </c>
      <c r="B29" s="9" t="s">
        <v>87</v>
      </c>
      <c r="C29" s="3" t="s">
        <v>45</v>
      </c>
      <c r="D29" s="9" t="s">
        <v>142</v>
      </c>
      <c r="E29" s="3" t="s">
        <v>31</v>
      </c>
      <c r="F29" s="9" t="s">
        <v>228</v>
      </c>
      <c r="G29" s="3" t="s">
        <v>31</v>
      </c>
      <c r="H29" s="9" t="s">
        <v>173</v>
      </c>
      <c r="I29" s="3" t="s">
        <v>218</v>
      </c>
      <c r="J29" s="7"/>
    </row>
    <row r="30" spans="1:10" ht="18" customHeight="1" x14ac:dyDescent="0.25">
      <c r="A30" s="99" t="s">
        <v>98</v>
      </c>
      <c r="B30" s="11" t="s">
        <v>343</v>
      </c>
      <c r="C30" s="10" t="s">
        <v>45</v>
      </c>
      <c r="D30" s="11" t="s">
        <v>391</v>
      </c>
      <c r="E30" s="10" t="s">
        <v>31</v>
      </c>
      <c r="F30" s="11" t="s">
        <v>140</v>
      </c>
      <c r="G30" s="10" t="s">
        <v>31</v>
      </c>
      <c r="H30" s="11" t="s">
        <v>173</v>
      </c>
      <c r="I30" s="10" t="s">
        <v>218</v>
      </c>
      <c r="J30" s="86"/>
    </row>
    <row r="31" spans="1:10" ht="36" x14ac:dyDescent="0.25">
      <c r="A31" s="140" t="s">
        <v>143</v>
      </c>
      <c r="B31" s="88" t="s">
        <v>343</v>
      </c>
      <c r="C31" s="87" t="s">
        <v>45</v>
      </c>
      <c r="D31" s="88" t="s">
        <v>391</v>
      </c>
      <c r="E31" s="87" t="s">
        <v>31</v>
      </c>
      <c r="F31" s="88" t="s">
        <v>140</v>
      </c>
      <c r="G31" s="87" t="s">
        <v>31</v>
      </c>
      <c r="H31" s="88" t="s">
        <v>173</v>
      </c>
      <c r="I31" s="87" t="s">
        <v>218</v>
      </c>
      <c r="J31" s="86"/>
    </row>
    <row r="32" spans="1:10" ht="72" x14ac:dyDescent="0.25">
      <c r="A32" s="98" t="s">
        <v>145</v>
      </c>
      <c r="B32" s="12" t="s">
        <v>379</v>
      </c>
      <c r="C32" s="15" t="s">
        <v>267</v>
      </c>
      <c r="D32" s="12" t="s">
        <v>380</v>
      </c>
      <c r="E32" s="15" t="s">
        <v>120</v>
      </c>
      <c r="F32" s="12" t="s">
        <v>224</v>
      </c>
      <c r="G32" s="15" t="s">
        <v>120</v>
      </c>
      <c r="H32" s="12" t="s">
        <v>381</v>
      </c>
      <c r="I32" s="15" t="s">
        <v>382</v>
      </c>
      <c r="J32" s="86"/>
    </row>
    <row r="33" spans="1:10" ht="36" x14ac:dyDescent="0.25">
      <c r="A33" s="99" t="s">
        <v>147</v>
      </c>
      <c r="B33" s="11" t="s">
        <v>343</v>
      </c>
      <c r="C33" s="10" t="s">
        <v>45</v>
      </c>
      <c r="D33" s="11" t="s">
        <v>391</v>
      </c>
      <c r="E33" s="10" t="s">
        <v>31</v>
      </c>
      <c r="F33" s="11" t="s">
        <v>140</v>
      </c>
      <c r="G33" s="10" t="s">
        <v>31</v>
      </c>
      <c r="H33" s="11" t="s">
        <v>173</v>
      </c>
      <c r="I33" s="10" t="s">
        <v>218</v>
      </c>
      <c r="J33" s="86"/>
    </row>
    <row r="34" spans="1:10" ht="72" x14ac:dyDescent="0.25">
      <c r="A34" s="98" t="s">
        <v>149</v>
      </c>
      <c r="B34" s="12" t="s">
        <v>379</v>
      </c>
      <c r="C34" s="15" t="s">
        <v>267</v>
      </c>
      <c r="D34" s="12" t="s">
        <v>380</v>
      </c>
      <c r="E34" s="15" t="s">
        <v>120</v>
      </c>
      <c r="F34" s="12" t="s">
        <v>224</v>
      </c>
      <c r="G34" s="15" t="s">
        <v>120</v>
      </c>
      <c r="H34" s="12" t="s">
        <v>381</v>
      </c>
      <c r="I34" s="15" t="s">
        <v>382</v>
      </c>
      <c r="J34" s="86"/>
    </row>
    <row r="35" spans="1:10" ht="36" x14ac:dyDescent="0.25">
      <c r="A35" s="96" t="s">
        <v>150</v>
      </c>
      <c r="B35" s="9" t="s">
        <v>343</v>
      </c>
      <c r="C35" s="3" t="s">
        <v>45</v>
      </c>
      <c r="D35" s="9" t="s">
        <v>391</v>
      </c>
      <c r="E35" s="3" t="s">
        <v>31</v>
      </c>
      <c r="F35" s="9" t="s">
        <v>140</v>
      </c>
      <c r="G35" s="3" t="s">
        <v>31</v>
      </c>
      <c r="H35" s="9" t="s">
        <v>173</v>
      </c>
      <c r="I35" s="3" t="s">
        <v>218</v>
      </c>
      <c r="J35" s="7"/>
    </row>
    <row r="36" spans="1:10" ht="36" x14ac:dyDescent="0.25">
      <c r="A36" s="127" t="s">
        <v>172</v>
      </c>
      <c r="B36" s="83" t="s">
        <v>407</v>
      </c>
      <c r="C36" s="89" t="s">
        <v>45</v>
      </c>
      <c r="D36" s="83" t="s">
        <v>408</v>
      </c>
      <c r="E36" s="89" t="s">
        <v>31</v>
      </c>
      <c r="F36" s="83" t="s">
        <v>45</v>
      </c>
      <c r="G36" s="89" t="s">
        <v>31</v>
      </c>
      <c r="H36" s="83" t="s">
        <v>173</v>
      </c>
      <c r="I36" s="89" t="s">
        <v>218</v>
      </c>
      <c r="J36" s="7"/>
    </row>
    <row r="37" spans="1:10" ht="45" x14ac:dyDescent="0.25">
      <c r="A37" s="96" t="s">
        <v>175</v>
      </c>
      <c r="B37" s="9" t="s">
        <v>409</v>
      </c>
      <c r="C37" s="3" t="s">
        <v>45</v>
      </c>
      <c r="D37" s="9" t="s">
        <v>410</v>
      </c>
      <c r="E37" s="3" t="s">
        <v>31</v>
      </c>
      <c r="F37" s="9" t="s">
        <v>232</v>
      </c>
      <c r="G37" s="3" t="s">
        <v>31</v>
      </c>
      <c r="H37" s="9" t="s">
        <v>173</v>
      </c>
      <c r="I37" s="3" t="s">
        <v>218</v>
      </c>
      <c r="J37" s="7"/>
    </row>
    <row r="38" spans="1:10" ht="18" x14ac:dyDescent="0.25">
      <c r="A38" s="96" t="s">
        <v>181</v>
      </c>
      <c r="B38" s="9" t="s">
        <v>112</v>
      </c>
      <c r="C38" s="3" t="s">
        <v>112</v>
      </c>
      <c r="D38" s="9" t="s">
        <v>112</v>
      </c>
      <c r="E38" s="3" t="s">
        <v>112</v>
      </c>
      <c r="F38" s="9" t="s">
        <v>112</v>
      </c>
      <c r="G38" s="3" t="s">
        <v>112</v>
      </c>
      <c r="H38" s="9" t="s">
        <v>112</v>
      </c>
      <c r="I38" s="3" t="s">
        <v>112</v>
      </c>
      <c r="J38" s="7"/>
    </row>
    <row r="39" spans="1:10" ht="18" x14ac:dyDescent="0.25">
      <c r="A39" s="96" t="s">
        <v>186</v>
      </c>
      <c r="B39" s="9" t="s">
        <v>112</v>
      </c>
      <c r="C39" s="3" t="s">
        <v>112</v>
      </c>
      <c r="D39" s="9" t="s">
        <v>112</v>
      </c>
      <c r="E39" s="3" t="s">
        <v>112</v>
      </c>
      <c r="F39" s="9" t="s">
        <v>112</v>
      </c>
      <c r="G39" s="3" t="s">
        <v>112</v>
      </c>
      <c r="H39" s="9" t="s">
        <v>112</v>
      </c>
      <c r="I39" s="3" t="s">
        <v>112</v>
      </c>
      <c r="J39" s="7"/>
    </row>
    <row r="40" spans="1:10" ht="54" x14ac:dyDescent="0.25">
      <c r="A40" s="96" t="s">
        <v>196</v>
      </c>
      <c r="B40" s="9" t="s">
        <v>424</v>
      </c>
      <c r="C40" s="3" t="s">
        <v>425</v>
      </c>
      <c r="D40" s="9" t="s">
        <v>426</v>
      </c>
      <c r="E40" s="3" t="s">
        <v>427</v>
      </c>
      <c r="F40" s="9" t="s">
        <v>428</v>
      </c>
      <c r="G40" s="3" t="s">
        <v>429</v>
      </c>
      <c r="H40" s="9" t="s">
        <v>173</v>
      </c>
      <c r="I40" s="3" t="s">
        <v>430</v>
      </c>
      <c r="J40" s="7"/>
    </row>
    <row r="41" spans="1:10" ht="18" x14ac:dyDescent="0.25">
      <c r="A41" s="129" t="s">
        <v>3</v>
      </c>
      <c r="B41" s="129"/>
      <c r="C41" s="129"/>
      <c r="D41" s="129"/>
      <c r="E41" s="129"/>
      <c r="F41" s="129"/>
      <c r="G41" s="129"/>
      <c r="H41" s="129"/>
      <c r="I41" s="129"/>
      <c r="J41" s="2"/>
    </row>
    <row r="42" spans="1:10" ht="18" x14ac:dyDescent="0.25">
      <c r="A42" s="3" t="s">
        <v>4</v>
      </c>
      <c r="B42" s="132" t="s">
        <v>336</v>
      </c>
      <c r="C42" s="132"/>
      <c r="D42" s="134" t="s">
        <v>337</v>
      </c>
      <c r="E42" s="134"/>
      <c r="F42" s="132" t="s">
        <v>338</v>
      </c>
      <c r="G42" s="132"/>
      <c r="H42" s="134" t="s">
        <v>339</v>
      </c>
      <c r="I42" s="134"/>
      <c r="J42" s="2"/>
    </row>
    <row r="43" spans="1:10" ht="36" x14ac:dyDescent="0.25">
      <c r="A43" s="3" t="s">
        <v>5</v>
      </c>
      <c r="B43" s="132" t="s">
        <v>332</v>
      </c>
      <c r="C43" s="132"/>
      <c r="D43" s="134" t="s">
        <v>333</v>
      </c>
      <c r="E43" s="134"/>
      <c r="F43" s="132" t="s">
        <v>334</v>
      </c>
      <c r="G43" s="132"/>
      <c r="H43" s="134" t="s">
        <v>335</v>
      </c>
      <c r="I43" s="134"/>
      <c r="J43" s="2"/>
    </row>
    <row r="44" spans="1:10" ht="18" x14ac:dyDescent="0.25">
      <c r="A44" s="3" t="s">
        <v>6</v>
      </c>
      <c r="B44" s="132" t="s">
        <v>7</v>
      </c>
      <c r="C44" s="132"/>
      <c r="D44" s="134" t="s">
        <v>7</v>
      </c>
      <c r="E44" s="134"/>
      <c r="F44" s="132" t="s">
        <v>7</v>
      </c>
      <c r="G44" s="132"/>
      <c r="H44" s="134" t="s">
        <v>7</v>
      </c>
      <c r="I44" s="134"/>
      <c r="J44" s="2"/>
    </row>
    <row r="45" spans="1:10" ht="153" x14ac:dyDescent="0.25">
      <c r="A45" s="3" t="s">
        <v>9</v>
      </c>
      <c r="B45" s="132" t="s">
        <v>244</v>
      </c>
      <c r="C45" s="132"/>
      <c r="D45" s="134" t="s">
        <v>209</v>
      </c>
      <c r="E45" s="134"/>
      <c r="F45" s="132" t="s">
        <v>209</v>
      </c>
      <c r="G45" s="132"/>
      <c r="H45" s="134" t="s">
        <v>11</v>
      </c>
      <c r="I45" s="134"/>
      <c r="J45" s="4"/>
    </row>
    <row r="46" spans="1:10" ht="18" x14ac:dyDescent="0.25">
      <c r="A46" s="10" t="s">
        <v>12</v>
      </c>
      <c r="B46" s="106" t="s">
        <v>245</v>
      </c>
      <c r="C46" s="106"/>
      <c r="D46" s="108" t="s">
        <v>13</v>
      </c>
      <c r="E46" s="108"/>
      <c r="F46" s="106" t="s">
        <v>13</v>
      </c>
      <c r="G46" s="106"/>
      <c r="H46" s="108" t="s">
        <v>14</v>
      </c>
      <c r="I46" s="108"/>
      <c r="J46" s="2"/>
    </row>
    <row r="47" spans="1:10" x14ac:dyDescent="0.25">
      <c r="A47" s="3" t="s">
        <v>15</v>
      </c>
      <c r="B47" s="132" t="s">
        <v>16</v>
      </c>
      <c r="C47" s="132"/>
      <c r="D47" s="134" t="s">
        <v>16</v>
      </c>
      <c r="E47" s="134"/>
      <c r="F47" s="132" t="s">
        <v>16</v>
      </c>
      <c r="G47" s="132"/>
      <c r="H47" s="134" t="s">
        <v>17</v>
      </c>
      <c r="I47" s="134"/>
      <c r="J47" s="2"/>
    </row>
    <row r="48" spans="1:10" ht="18" x14ac:dyDescent="0.25">
      <c r="A48" s="3" t="s">
        <v>18</v>
      </c>
      <c r="B48" s="132" t="s">
        <v>19</v>
      </c>
      <c r="C48" s="132"/>
      <c r="D48" s="134" t="s">
        <v>19</v>
      </c>
      <c r="E48" s="134"/>
      <c r="F48" s="132" t="s">
        <v>19</v>
      </c>
      <c r="G48" s="132"/>
      <c r="H48" s="134" t="s">
        <v>19</v>
      </c>
      <c r="I48" s="134"/>
      <c r="J48" s="2"/>
    </row>
    <row r="49" spans="1:10" ht="18" x14ac:dyDescent="0.25">
      <c r="A49" s="5" t="s">
        <v>20</v>
      </c>
      <c r="B49" s="129" t="s">
        <v>21</v>
      </c>
      <c r="C49" s="129"/>
      <c r="D49" s="129" t="s">
        <v>21</v>
      </c>
      <c r="E49" s="129"/>
      <c r="F49" s="129" t="s">
        <v>21</v>
      </c>
      <c r="G49" s="129"/>
      <c r="H49" s="129" t="s">
        <v>21</v>
      </c>
      <c r="I49" s="129"/>
      <c r="J49" s="2"/>
    </row>
    <row r="50" spans="1:10" ht="18" x14ac:dyDescent="0.25">
      <c r="A50" s="129" t="s">
        <v>26</v>
      </c>
      <c r="B50" s="129"/>
      <c r="C50" s="129"/>
      <c r="D50" s="129"/>
      <c r="E50" s="129"/>
      <c r="F50" s="129"/>
      <c r="G50" s="129"/>
      <c r="H50" s="129"/>
      <c r="I50" s="129"/>
      <c r="J50" s="2"/>
    </row>
    <row r="51" spans="1:10" ht="27" x14ac:dyDescent="0.25">
      <c r="A51" s="3" t="s">
        <v>27</v>
      </c>
      <c r="B51" s="132" t="s">
        <v>28</v>
      </c>
      <c r="C51" s="132"/>
      <c r="D51" s="134" t="s">
        <v>28</v>
      </c>
      <c r="E51" s="134"/>
      <c r="F51" s="132" t="s">
        <v>28</v>
      </c>
      <c r="G51" s="132"/>
      <c r="H51" s="134" t="s">
        <v>28</v>
      </c>
      <c r="I51" s="134"/>
      <c r="J51" s="6"/>
    </row>
    <row r="52" spans="1:10" x14ac:dyDescent="0.25">
      <c r="A52" s="3" t="s">
        <v>29</v>
      </c>
      <c r="B52" s="132" t="s">
        <v>28</v>
      </c>
      <c r="C52" s="132"/>
      <c r="D52" s="134" t="s">
        <v>28</v>
      </c>
      <c r="E52" s="134"/>
      <c r="F52" s="132" t="s">
        <v>28</v>
      </c>
      <c r="G52" s="132"/>
      <c r="H52" s="134" t="s">
        <v>28</v>
      </c>
      <c r="I52" s="134"/>
      <c r="J52" s="2"/>
    </row>
    <row r="53" spans="1:10" ht="36" x14ac:dyDescent="0.25">
      <c r="A53" s="3" t="s">
        <v>30</v>
      </c>
      <c r="B53" s="132" t="s">
        <v>45</v>
      </c>
      <c r="C53" s="132"/>
      <c r="D53" s="134" t="s">
        <v>31</v>
      </c>
      <c r="E53" s="134"/>
      <c r="F53" s="132" t="s">
        <v>31</v>
      </c>
      <c r="G53" s="132"/>
      <c r="H53" s="134" t="s">
        <v>218</v>
      </c>
      <c r="I53" s="134"/>
      <c r="J53" s="2"/>
    </row>
    <row r="54" spans="1:10" ht="54" x14ac:dyDescent="0.25">
      <c r="A54" s="3" t="s">
        <v>32</v>
      </c>
      <c r="B54" s="132" t="s">
        <v>33</v>
      </c>
      <c r="C54" s="132"/>
      <c r="D54" s="134" t="s">
        <v>33</v>
      </c>
      <c r="E54" s="134"/>
      <c r="F54" s="132" t="s">
        <v>33</v>
      </c>
      <c r="G54" s="132"/>
      <c r="H54" s="134" t="s">
        <v>33</v>
      </c>
      <c r="I54" s="134"/>
      <c r="J54" s="6"/>
    </row>
    <row r="55" spans="1:10" ht="36" x14ac:dyDescent="0.25">
      <c r="A55" s="3" t="s">
        <v>34</v>
      </c>
      <c r="B55" s="132" t="s">
        <v>35</v>
      </c>
      <c r="C55" s="132"/>
      <c r="D55" s="134" t="s">
        <v>35</v>
      </c>
      <c r="E55" s="134"/>
      <c r="F55" s="132" t="s">
        <v>35</v>
      </c>
      <c r="G55" s="132"/>
      <c r="H55" s="134" t="s">
        <v>35</v>
      </c>
      <c r="I55" s="134"/>
      <c r="J55" s="6"/>
    </row>
    <row r="56" spans="1:10" ht="18" x14ac:dyDescent="0.25">
      <c r="A56" s="3" t="s">
        <v>36</v>
      </c>
      <c r="B56" s="132" t="s">
        <v>37</v>
      </c>
      <c r="C56" s="132"/>
      <c r="D56" s="134" t="s">
        <v>37</v>
      </c>
      <c r="E56" s="134"/>
      <c r="F56" s="132" t="s">
        <v>37</v>
      </c>
      <c r="G56" s="132"/>
      <c r="H56" s="134" t="s">
        <v>37</v>
      </c>
      <c r="I56" s="134"/>
      <c r="J56" s="2"/>
    </row>
    <row r="57" spans="1:10" ht="36" x14ac:dyDescent="0.25">
      <c r="A57" s="134" t="s">
        <v>38</v>
      </c>
      <c r="B57" s="132" t="s">
        <v>340</v>
      </c>
      <c r="C57" s="132"/>
      <c r="D57" s="134" t="s">
        <v>340</v>
      </c>
      <c r="E57" s="134"/>
      <c r="F57" s="132" t="s">
        <v>340</v>
      </c>
      <c r="G57" s="132"/>
      <c r="H57" s="134" t="s">
        <v>340</v>
      </c>
      <c r="I57" s="134"/>
      <c r="J57" s="136"/>
    </row>
    <row r="58" spans="1:10" ht="81" x14ac:dyDescent="0.25">
      <c r="A58" s="134"/>
      <c r="B58" s="132" t="s">
        <v>341</v>
      </c>
      <c r="C58" s="132"/>
      <c r="D58" s="134" t="s">
        <v>341</v>
      </c>
      <c r="E58" s="134"/>
      <c r="F58" s="132" t="s">
        <v>341</v>
      </c>
      <c r="G58" s="132"/>
      <c r="H58" s="134" t="s">
        <v>341</v>
      </c>
      <c r="I58" s="134"/>
      <c r="J58" s="136"/>
    </row>
    <row r="59" spans="1:10" ht="63" x14ac:dyDescent="0.25">
      <c r="A59" s="18"/>
      <c r="B59" s="132" t="s">
        <v>342</v>
      </c>
      <c r="C59" s="132"/>
      <c r="D59" s="134" t="s">
        <v>342</v>
      </c>
      <c r="E59" s="134"/>
      <c r="F59" s="132" t="s">
        <v>342</v>
      </c>
      <c r="G59" s="132"/>
      <c r="H59" s="134" t="s">
        <v>342</v>
      </c>
      <c r="I59" s="134"/>
      <c r="J59" s="7"/>
    </row>
    <row r="60" spans="1:10" ht="27" x14ac:dyDescent="0.25">
      <c r="A60" s="129" t="s">
        <v>40</v>
      </c>
      <c r="B60" s="129"/>
      <c r="C60" s="129"/>
      <c r="D60" s="129"/>
      <c r="E60" s="129"/>
      <c r="F60" s="129"/>
      <c r="G60" s="129"/>
      <c r="H60" s="129"/>
      <c r="I60" s="129"/>
      <c r="J60" s="7"/>
    </row>
    <row r="61" spans="1:10" ht="27" x14ac:dyDescent="0.25">
      <c r="A61" s="8" t="s">
        <v>40</v>
      </c>
      <c r="B61" s="8" t="s">
        <v>41</v>
      </c>
      <c r="C61" s="8" t="s">
        <v>42</v>
      </c>
      <c r="D61" s="8" t="s">
        <v>41</v>
      </c>
      <c r="E61" s="8" t="s">
        <v>42</v>
      </c>
      <c r="F61" s="8" t="s">
        <v>41</v>
      </c>
      <c r="G61" s="8" t="s">
        <v>42</v>
      </c>
      <c r="H61" s="8" t="s">
        <v>41</v>
      </c>
      <c r="I61" s="8" t="s">
        <v>42</v>
      </c>
      <c r="J61" s="7"/>
    </row>
    <row r="62" spans="1:10" ht="18" x14ac:dyDescent="0.25">
      <c r="A62" s="3" t="s">
        <v>65</v>
      </c>
      <c r="B62" s="9" t="s">
        <v>66</v>
      </c>
      <c r="C62" s="3" t="s">
        <v>66</v>
      </c>
      <c r="D62" s="9" t="s">
        <v>66</v>
      </c>
      <c r="E62" s="3" t="s">
        <v>66</v>
      </c>
      <c r="F62" s="9" t="s">
        <v>66</v>
      </c>
      <c r="G62" s="3" t="s">
        <v>66</v>
      </c>
      <c r="H62" s="9" t="s">
        <v>66</v>
      </c>
      <c r="I62" s="3" t="s">
        <v>66</v>
      </c>
      <c r="J62" s="7"/>
    </row>
    <row r="63" spans="1:10" ht="18" x14ac:dyDescent="0.25">
      <c r="A63" s="129" t="s">
        <v>67</v>
      </c>
      <c r="B63" s="129"/>
      <c r="C63" s="129"/>
      <c r="D63" s="129"/>
      <c r="E63" s="129"/>
      <c r="F63" s="129"/>
      <c r="G63" s="129"/>
      <c r="H63" s="129"/>
      <c r="I63" s="129"/>
      <c r="J63" s="7"/>
    </row>
    <row r="64" spans="1:10" ht="27" x14ac:dyDescent="0.25">
      <c r="A64" s="8" t="s">
        <v>68</v>
      </c>
      <c r="B64" s="8" t="s">
        <v>41</v>
      </c>
      <c r="C64" s="8" t="s">
        <v>42</v>
      </c>
      <c r="D64" s="8" t="s">
        <v>41</v>
      </c>
      <c r="E64" s="8" t="s">
        <v>42</v>
      </c>
      <c r="F64" s="8" t="s">
        <v>41</v>
      </c>
      <c r="G64" s="8" t="s">
        <v>42</v>
      </c>
      <c r="H64" s="8" t="s">
        <v>41</v>
      </c>
      <c r="I64" s="8" t="s">
        <v>42</v>
      </c>
      <c r="J64" s="7"/>
    </row>
    <row r="65" spans="1:10" ht="36" x14ac:dyDescent="0.25">
      <c r="A65" s="3" t="s">
        <v>71</v>
      </c>
      <c r="B65" s="9" t="s">
        <v>70</v>
      </c>
      <c r="C65" s="3" t="s">
        <v>45</v>
      </c>
      <c r="D65" s="9" t="s">
        <v>70</v>
      </c>
      <c r="E65" s="3" t="s">
        <v>31</v>
      </c>
      <c r="F65" s="9" t="s">
        <v>70</v>
      </c>
      <c r="G65" s="3" t="s">
        <v>31</v>
      </c>
      <c r="H65" s="9" t="s">
        <v>70</v>
      </c>
      <c r="I65" s="3" t="s">
        <v>218</v>
      </c>
      <c r="J65" s="7"/>
    </row>
    <row r="66" spans="1:10" ht="36" x14ac:dyDescent="0.25">
      <c r="A66" s="3" t="s">
        <v>73</v>
      </c>
      <c r="B66" s="9" t="s">
        <v>70</v>
      </c>
      <c r="C66" s="3" t="s">
        <v>45</v>
      </c>
      <c r="D66" s="9" t="s">
        <v>70</v>
      </c>
      <c r="E66" s="3" t="s">
        <v>31</v>
      </c>
      <c r="F66" s="9" t="s">
        <v>70</v>
      </c>
      <c r="G66" s="3" t="s">
        <v>31</v>
      </c>
      <c r="H66" s="9" t="s">
        <v>70</v>
      </c>
      <c r="I66" s="3" t="s">
        <v>218</v>
      </c>
      <c r="J66" s="7"/>
    </row>
    <row r="67" spans="1:10" ht="36" x14ac:dyDescent="0.25">
      <c r="A67" s="3" t="s">
        <v>74</v>
      </c>
      <c r="B67" s="9" t="s">
        <v>70</v>
      </c>
      <c r="C67" s="3" t="s">
        <v>45</v>
      </c>
      <c r="D67" s="9" t="s">
        <v>70</v>
      </c>
      <c r="E67" s="3" t="s">
        <v>31</v>
      </c>
      <c r="F67" s="9" t="s">
        <v>70</v>
      </c>
      <c r="G67" s="3" t="s">
        <v>31</v>
      </c>
      <c r="H67" s="9" t="s">
        <v>70</v>
      </c>
      <c r="I67" s="3" t="s">
        <v>218</v>
      </c>
      <c r="J67" s="7"/>
    </row>
    <row r="68" spans="1:10" ht="36" x14ac:dyDescent="0.25">
      <c r="A68" s="3" t="s">
        <v>77</v>
      </c>
      <c r="B68" s="9" t="s">
        <v>78</v>
      </c>
      <c r="C68" s="3" t="s">
        <v>45</v>
      </c>
      <c r="D68" s="9" t="s">
        <v>78</v>
      </c>
      <c r="E68" s="3" t="s">
        <v>31</v>
      </c>
      <c r="F68" s="9" t="s">
        <v>78</v>
      </c>
      <c r="G68" s="3" t="s">
        <v>31</v>
      </c>
      <c r="H68" s="9" t="s">
        <v>78</v>
      </c>
      <c r="I68" s="3" t="s">
        <v>218</v>
      </c>
      <c r="J68" s="7"/>
    </row>
    <row r="69" spans="1:10" ht="27" x14ac:dyDescent="0.25">
      <c r="A69" s="3" t="s">
        <v>79</v>
      </c>
      <c r="B69" s="9" t="s">
        <v>70</v>
      </c>
      <c r="C69" s="3" t="s">
        <v>361</v>
      </c>
      <c r="D69" s="9" t="s">
        <v>70</v>
      </c>
      <c r="E69" s="3" t="s">
        <v>362</v>
      </c>
      <c r="F69" s="9" t="s">
        <v>70</v>
      </c>
      <c r="G69" s="3" t="s">
        <v>362</v>
      </c>
      <c r="H69" s="9" t="s">
        <v>70</v>
      </c>
      <c r="I69" s="3" t="s">
        <v>363</v>
      </c>
      <c r="J69" s="7"/>
    </row>
    <row r="70" spans="1:10" ht="18" x14ac:dyDescent="0.25">
      <c r="A70" s="18"/>
      <c r="B70" s="19"/>
      <c r="C70" s="3" t="s">
        <v>222</v>
      </c>
      <c r="D70" s="19"/>
      <c r="E70" s="3" t="s">
        <v>222</v>
      </c>
      <c r="F70" s="19"/>
      <c r="G70" s="3" t="s">
        <v>222</v>
      </c>
      <c r="H70" s="19"/>
      <c r="I70" s="3" t="s">
        <v>222</v>
      </c>
      <c r="J70" s="7"/>
    </row>
    <row r="71" spans="1:10" ht="27" x14ac:dyDescent="0.25">
      <c r="A71" s="8" t="s">
        <v>80</v>
      </c>
      <c r="B71" s="8" t="s">
        <v>41</v>
      </c>
      <c r="C71" s="8" t="s">
        <v>42</v>
      </c>
      <c r="D71" s="8" t="s">
        <v>41</v>
      </c>
      <c r="E71" s="8" t="s">
        <v>42</v>
      </c>
      <c r="F71" s="8" t="s">
        <v>41</v>
      </c>
      <c r="G71" s="8" t="s">
        <v>42</v>
      </c>
      <c r="H71" s="8" t="s">
        <v>41</v>
      </c>
      <c r="I71" s="8" t="s">
        <v>42</v>
      </c>
      <c r="J71" s="7"/>
    </row>
    <row r="72" spans="1:10" ht="54" x14ac:dyDescent="0.25">
      <c r="A72" s="3" t="s">
        <v>81</v>
      </c>
      <c r="B72" s="9" t="s">
        <v>364</v>
      </c>
      <c r="C72" s="3" t="s">
        <v>45</v>
      </c>
      <c r="D72" s="9" t="s">
        <v>365</v>
      </c>
      <c r="E72" s="3" t="s">
        <v>31</v>
      </c>
      <c r="F72" s="9" t="s">
        <v>96</v>
      </c>
      <c r="G72" s="3" t="s">
        <v>31</v>
      </c>
      <c r="H72" s="9" t="s">
        <v>173</v>
      </c>
      <c r="I72" s="3" t="s">
        <v>218</v>
      </c>
      <c r="J72" s="7"/>
    </row>
    <row r="73" spans="1:10" ht="36" x14ac:dyDescent="0.25">
      <c r="A73" s="3" t="s">
        <v>138</v>
      </c>
      <c r="B73" s="9" t="s">
        <v>345</v>
      </c>
      <c r="C73" s="3" t="s">
        <v>45</v>
      </c>
      <c r="D73" s="9" t="s">
        <v>368</v>
      </c>
      <c r="E73" s="3" t="s">
        <v>31</v>
      </c>
      <c r="F73" s="9" t="s">
        <v>137</v>
      </c>
      <c r="G73" s="3" t="s">
        <v>31</v>
      </c>
      <c r="H73" s="9" t="s">
        <v>173</v>
      </c>
      <c r="I73" s="3" t="s">
        <v>218</v>
      </c>
      <c r="J73" s="7"/>
    </row>
    <row r="74" spans="1:10" ht="54" x14ac:dyDescent="0.25">
      <c r="A74" s="3" t="s">
        <v>95</v>
      </c>
      <c r="B74" s="9" t="s">
        <v>364</v>
      </c>
      <c r="C74" s="3" t="s">
        <v>45</v>
      </c>
      <c r="D74" s="9" t="s">
        <v>365</v>
      </c>
      <c r="E74" s="3" t="s">
        <v>31</v>
      </c>
      <c r="F74" s="9" t="s">
        <v>96</v>
      </c>
      <c r="G74" s="3" t="s">
        <v>31</v>
      </c>
      <c r="H74" s="9" t="s">
        <v>173</v>
      </c>
      <c r="I74" s="3" t="s">
        <v>218</v>
      </c>
      <c r="J74" s="7"/>
    </row>
    <row r="75" spans="1:10" ht="54" x14ac:dyDescent="0.25">
      <c r="A75" s="3" t="s">
        <v>97</v>
      </c>
      <c r="B75" s="9" t="s">
        <v>364</v>
      </c>
      <c r="C75" s="3" t="s">
        <v>45</v>
      </c>
      <c r="D75" s="9" t="s">
        <v>365</v>
      </c>
      <c r="E75" s="3" t="s">
        <v>31</v>
      </c>
      <c r="F75" s="9" t="s">
        <v>96</v>
      </c>
      <c r="G75" s="3" t="s">
        <v>31</v>
      </c>
      <c r="H75" s="9" t="s">
        <v>173</v>
      </c>
      <c r="I75" s="3" t="s">
        <v>218</v>
      </c>
      <c r="J75" s="7"/>
    </row>
    <row r="76" spans="1:10" ht="18" x14ac:dyDescent="0.25">
      <c r="A76" s="8" t="s">
        <v>102</v>
      </c>
      <c r="B76" s="8" t="s">
        <v>41</v>
      </c>
      <c r="C76" s="8" t="s">
        <v>42</v>
      </c>
      <c r="D76" s="8" t="s">
        <v>41</v>
      </c>
      <c r="E76" s="8" t="s">
        <v>42</v>
      </c>
      <c r="F76" s="8" t="s">
        <v>41</v>
      </c>
      <c r="G76" s="8" t="s">
        <v>42</v>
      </c>
      <c r="H76" s="8" t="s">
        <v>41</v>
      </c>
      <c r="I76" s="8" t="s">
        <v>42</v>
      </c>
      <c r="J76" s="7"/>
    </row>
    <row r="77" spans="1:10" ht="54" x14ac:dyDescent="0.25">
      <c r="A77" s="3" t="s">
        <v>105</v>
      </c>
      <c r="B77" s="9" t="s">
        <v>371</v>
      </c>
      <c r="C77" s="3" t="s">
        <v>260</v>
      </c>
      <c r="D77" s="9" t="s">
        <v>372</v>
      </c>
      <c r="E77" s="3" t="s">
        <v>107</v>
      </c>
      <c r="F77" s="9" t="s">
        <v>373</v>
      </c>
      <c r="G77" s="3" t="s">
        <v>107</v>
      </c>
      <c r="H77" s="9" t="s">
        <v>173</v>
      </c>
      <c r="I77" s="3" t="s">
        <v>374</v>
      </c>
      <c r="J77" s="7"/>
    </row>
    <row r="78" spans="1:10" ht="45" x14ac:dyDescent="0.25">
      <c r="A78" s="3" t="s">
        <v>108</v>
      </c>
      <c r="B78" s="9" t="s">
        <v>70</v>
      </c>
      <c r="C78" s="3" t="s">
        <v>261</v>
      </c>
      <c r="D78" s="9" t="s">
        <v>84</v>
      </c>
      <c r="E78" s="3" t="s">
        <v>107</v>
      </c>
      <c r="F78" s="9" t="s">
        <v>84</v>
      </c>
      <c r="G78" s="3" t="s">
        <v>107</v>
      </c>
      <c r="H78" s="9" t="s">
        <v>173</v>
      </c>
      <c r="I78" s="3" t="s">
        <v>374</v>
      </c>
      <c r="J78" s="7"/>
    </row>
    <row r="79" spans="1:10" ht="18" x14ac:dyDescent="0.25">
      <c r="A79" s="8" t="s">
        <v>109</v>
      </c>
      <c r="B79" s="8" t="s">
        <v>41</v>
      </c>
      <c r="C79" s="8" t="s">
        <v>42</v>
      </c>
      <c r="D79" s="8" t="s">
        <v>41</v>
      </c>
      <c r="E79" s="8" t="s">
        <v>42</v>
      </c>
      <c r="F79" s="8" t="s">
        <v>41</v>
      </c>
      <c r="G79" s="8" t="s">
        <v>42</v>
      </c>
      <c r="H79" s="8" t="s">
        <v>41</v>
      </c>
      <c r="I79" s="8" t="s">
        <v>42</v>
      </c>
      <c r="J79" s="7"/>
    </row>
    <row r="80" spans="1:10" ht="36" x14ac:dyDescent="0.25">
      <c r="A80" s="3" t="s">
        <v>114</v>
      </c>
      <c r="B80" s="9" t="s">
        <v>377</v>
      </c>
      <c r="C80" s="3" t="s">
        <v>45</v>
      </c>
      <c r="D80" s="9" t="s">
        <v>378</v>
      </c>
      <c r="E80" s="3" t="s">
        <v>31</v>
      </c>
      <c r="F80" s="9" t="s">
        <v>116</v>
      </c>
      <c r="G80" s="3" t="s">
        <v>31</v>
      </c>
      <c r="H80" s="9" t="s">
        <v>173</v>
      </c>
      <c r="I80" s="3" t="s">
        <v>218</v>
      </c>
      <c r="J80" s="7"/>
    </row>
    <row r="81" spans="1:10" ht="27" x14ac:dyDescent="0.25">
      <c r="A81" s="8" t="s">
        <v>117</v>
      </c>
      <c r="B81" s="8" t="s">
        <v>41</v>
      </c>
      <c r="C81" s="8" t="s">
        <v>42</v>
      </c>
      <c r="D81" s="8" t="s">
        <v>41</v>
      </c>
      <c r="E81" s="8" t="s">
        <v>42</v>
      </c>
      <c r="F81" s="8" t="s">
        <v>41</v>
      </c>
      <c r="G81" s="8" t="s">
        <v>42</v>
      </c>
      <c r="H81" s="8" t="s">
        <v>41</v>
      </c>
      <c r="I81" s="8" t="s">
        <v>42</v>
      </c>
      <c r="J81" s="7"/>
    </row>
    <row r="82" spans="1:10" ht="72" x14ac:dyDescent="0.25">
      <c r="A82" s="3" t="s">
        <v>118</v>
      </c>
      <c r="B82" s="9" t="s">
        <v>379</v>
      </c>
      <c r="C82" s="3" t="s">
        <v>267</v>
      </c>
      <c r="D82" s="9" t="s">
        <v>380</v>
      </c>
      <c r="E82" s="3" t="s">
        <v>120</v>
      </c>
      <c r="F82" s="9" t="s">
        <v>224</v>
      </c>
      <c r="G82" s="3" t="s">
        <v>120</v>
      </c>
      <c r="H82" s="9" t="s">
        <v>381</v>
      </c>
      <c r="I82" s="3" t="s">
        <v>382</v>
      </c>
      <c r="J82" s="7"/>
    </row>
    <row r="83" spans="1:10" ht="36" x14ac:dyDescent="0.25">
      <c r="A83" s="3" t="s">
        <v>122</v>
      </c>
      <c r="B83" s="9" t="s">
        <v>70</v>
      </c>
      <c r="C83" s="3" t="s">
        <v>45</v>
      </c>
      <c r="D83" s="9" t="s">
        <v>70</v>
      </c>
      <c r="E83" s="3" t="s">
        <v>31</v>
      </c>
      <c r="F83" s="9" t="s">
        <v>70</v>
      </c>
      <c r="G83" s="3" t="s">
        <v>31</v>
      </c>
      <c r="H83" s="9" t="s">
        <v>173</v>
      </c>
      <c r="I83" s="3" t="s">
        <v>218</v>
      </c>
      <c r="J83" s="7"/>
    </row>
    <row r="84" spans="1:10" ht="81" x14ac:dyDescent="0.25">
      <c r="A84" s="3" t="s">
        <v>123</v>
      </c>
      <c r="B84" s="9" t="s">
        <v>383</v>
      </c>
      <c r="C84" s="3" t="s">
        <v>269</v>
      </c>
      <c r="D84" s="9" t="s">
        <v>384</v>
      </c>
      <c r="E84" s="3" t="s">
        <v>127</v>
      </c>
      <c r="F84" s="9" t="s">
        <v>225</v>
      </c>
      <c r="G84" s="3" t="s">
        <v>127</v>
      </c>
      <c r="H84" s="9" t="s">
        <v>385</v>
      </c>
      <c r="I84" s="3" t="s">
        <v>386</v>
      </c>
      <c r="J84" s="7"/>
    </row>
    <row r="85" spans="1:10" ht="36" x14ac:dyDescent="0.25">
      <c r="A85" s="3" t="s">
        <v>128</v>
      </c>
      <c r="B85" s="9" t="s">
        <v>87</v>
      </c>
      <c r="C85" s="3" t="s">
        <v>45</v>
      </c>
      <c r="D85" s="9" t="s">
        <v>133</v>
      </c>
      <c r="E85" s="3" t="s">
        <v>31</v>
      </c>
      <c r="F85" s="9" t="s">
        <v>226</v>
      </c>
      <c r="G85" s="3" t="s">
        <v>31</v>
      </c>
      <c r="H85" s="9" t="s">
        <v>173</v>
      </c>
      <c r="I85" s="3" t="s">
        <v>218</v>
      </c>
      <c r="J85" s="7"/>
    </row>
    <row r="86" spans="1:10" ht="36" x14ac:dyDescent="0.25">
      <c r="A86" s="3" t="s">
        <v>129</v>
      </c>
      <c r="B86" s="9" t="s">
        <v>70</v>
      </c>
      <c r="C86" s="3" t="s">
        <v>45</v>
      </c>
      <c r="D86" s="9" t="s">
        <v>70</v>
      </c>
      <c r="E86" s="3" t="s">
        <v>31</v>
      </c>
      <c r="F86" s="9" t="s">
        <v>70</v>
      </c>
      <c r="G86" s="3" t="s">
        <v>31</v>
      </c>
      <c r="H86" s="9" t="s">
        <v>173</v>
      </c>
      <c r="I86" s="3" t="s">
        <v>218</v>
      </c>
      <c r="J86" s="7"/>
    </row>
    <row r="87" spans="1:10" ht="18" x14ac:dyDescent="0.25">
      <c r="A87" s="8" t="s">
        <v>130</v>
      </c>
      <c r="B87" s="8" t="s">
        <v>41</v>
      </c>
      <c r="C87" s="8" t="s">
        <v>42</v>
      </c>
      <c r="D87" s="8" t="s">
        <v>41</v>
      </c>
      <c r="E87" s="8" t="s">
        <v>42</v>
      </c>
      <c r="F87" s="8" t="s">
        <v>41</v>
      </c>
      <c r="G87" s="8" t="s">
        <v>42</v>
      </c>
      <c r="H87" s="8" t="s">
        <v>41</v>
      </c>
      <c r="I87" s="8" t="s">
        <v>42</v>
      </c>
      <c r="J87" s="7"/>
    </row>
    <row r="88" spans="1:10" ht="27" x14ac:dyDescent="0.25">
      <c r="A88" s="8" t="s">
        <v>136</v>
      </c>
      <c r="B88" s="8" t="s">
        <v>41</v>
      </c>
      <c r="C88" s="8" t="s">
        <v>42</v>
      </c>
      <c r="D88" s="8" t="s">
        <v>41</v>
      </c>
      <c r="E88" s="8" t="s">
        <v>42</v>
      </c>
      <c r="F88" s="8" t="s">
        <v>41</v>
      </c>
      <c r="G88" s="8" t="s">
        <v>42</v>
      </c>
      <c r="H88" s="8" t="s">
        <v>41</v>
      </c>
      <c r="I88" s="8" t="s">
        <v>42</v>
      </c>
      <c r="J88" s="7"/>
    </row>
    <row r="89" spans="1:10" ht="36" x14ac:dyDescent="0.25">
      <c r="A89" s="3" t="s">
        <v>85</v>
      </c>
      <c r="B89" s="9" t="s">
        <v>345</v>
      </c>
      <c r="C89" s="3" t="s">
        <v>45</v>
      </c>
      <c r="D89" s="9" t="s">
        <v>368</v>
      </c>
      <c r="E89" s="3" t="s">
        <v>31</v>
      </c>
      <c r="F89" s="9" t="s">
        <v>137</v>
      </c>
      <c r="G89" s="3" t="s">
        <v>31</v>
      </c>
      <c r="H89" s="9" t="s">
        <v>173</v>
      </c>
      <c r="I89" s="3" t="s">
        <v>218</v>
      </c>
      <c r="J89" s="7"/>
    </row>
    <row r="90" spans="1:10" ht="36" x14ac:dyDescent="0.25">
      <c r="A90" s="3" t="s">
        <v>138</v>
      </c>
      <c r="B90" s="9" t="s">
        <v>345</v>
      </c>
      <c r="C90" s="3" t="s">
        <v>45</v>
      </c>
      <c r="D90" s="9" t="s">
        <v>368</v>
      </c>
      <c r="E90" s="3" t="s">
        <v>31</v>
      </c>
      <c r="F90" s="9" t="s">
        <v>137</v>
      </c>
      <c r="G90" s="3" t="s">
        <v>31</v>
      </c>
      <c r="H90" s="9" t="s">
        <v>173</v>
      </c>
      <c r="I90" s="3" t="s">
        <v>218</v>
      </c>
      <c r="J90" s="7"/>
    </row>
    <row r="91" spans="1:10" ht="36" x14ac:dyDescent="0.25">
      <c r="A91" s="154" t="s">
        <v>144</v>
      </c>
      <c r="B91" s="8" t="s">
        <v>41</v>
      </c>
      <c r="C91" s="154" t="s">
        <v>42</v>
      </c>
      <c r="D91" s="8" t="s">
        <v>41</v>
      </c>
      <c r="E91" s="154" t="s">
        <v>42</v>
      </c>
      <c r="F91" s="8" t="s">
        <v>41</v>
      </c>
      <c r="G91" s="154" t="s">
        <v>42</v>
      </c>
      <c r="H91" s="8" t="s">
        <v>41</v>
      </c>
      <c r="I91" s="154" t="s">
        <v>42</v>
      </c>
      <c r="J91" s="7"/>
    </row>
    <row r="92" spans="1:10" ht="18" x14ac:dyDescent="0.25">
      <c r="A92" s="8" t="s">
        <v>151</v>
      </c>
      <c r="B92" s="8" t="s">
        <v>41</v>
      </c>
      <c r="C92" s="8" t="s">
        <v>42</v>
      </c>
      <c r="D92" s="8" t="s">
        <v>41</v>
      </c>
      <c r="E92" s="8" t="s">
        <v>42</v>
      </c>
      <c r="F92" s="8" t="s">
        <v>41</v>
      </c>
      <c r="G92" s="8" t="s">
        <v>42</v>
      </c>
      <c r="H92" s="8" t="s">
        <v>41</v>
      </c>
      <c r="I92" s="8" t="s">
        <v>42</v>
      </c>
      <c r="J92" s="7"/>
    </row>
    <row r="93" spans="1:10" ht="72" x14ac:dyDescent="0.25">
      <c r="A93" s="3" t="s">
        <v>152</v>
      </c>
      <c r="B93" s="9" t="s">
        <v>392</v>
      </c>
      <c r="C93" s="3" t="s">
        <v>276</v>
      </c>
      <c r="D93" s="9" t="s">
        <v>393</v>
      </c>
      <c r="E93" s="3" t="s">
        <v>156</v>
      </c>
      <c r="F93" s="9" t="s">
        <v>229</v>
      </c>
      <c r="G93" s="3" t="s">
        <v>156</v>
      </c>
      <c r="H93" s="9" t="s">
        <v>394</v>
      </c>
      <c r="I93" s="3" t="s">
        <v>395</v>
      </c>
      <c r="J93" s="7"/>
    </row>
    <row r="94" spans="1:10" ht="54" x14ac:dyDescent="0.25">
      <c r="A94" s="3" t="s">
        <v>157</v>
      </c>
      <c r="B94" s="9" t="s">
        <v>396</v>
      </c>
      <c r="C94" s="3" t="s">
        <v>278</v>
      </c>
      <c r="D94" s="9" t="s">
        <v>397</v>
      </c>
      <c r="E94" s="3" t="s">
        <v>161</v>
      </c>
      <c r="F94" s="9" t="s">
        <v>160</v>
      </c>
      <c r="G94" s="3" t="s">
        <v>161</v>
      </c>
      <c r="H94" s="9" t="s">
        <v>398</v>
      </c>
      <c r="I94" s="3" t="s">
        <v>399</v>
      </c>
      <c r="J94" s="7"/>
    </row>
    <row r="95" spans="1:10" ht="72" x14ac:dyDescent="0.25">
      <c r="A95" s="3" t="s">
        <v>162</v>
      </c>
      <c r="B95" s="9" t="s">
        <v>400</v>
      </c>
      <c r="C95" s="3" t="s">
        <v>281</v>
      </c>
      <c r="D95" s="9" t="s">
        <v>401</v>
      </c>
      <c r="E95" s="3" t="s">
        <v>165</v>
      </c>
      <c r="F95" s="9" t="s">
        <v>230</v>
      </c>
      <c r="G95" s="3" t="s">
        <v>165</v>
      </c>
      <c r="H95" s="9" t="s">
        <v>402</v>
      </c>
      <c r="I95" s="3" t="s">
        <v>403</v>
      </c>
      <c r="J95" s="7"/>
    </row>
    <row r="96" spans="1:10" ht="99" x14ac:dyDescent="0.25">
      <c r="A96" s="3" t="s">
        <v>167</v>
      </c>
      <c r="B96" s="9" t="s">
        <v>404</v>
      </c>
      <c r="C96" s="3" t="s">
        <v>170</v>
      </c>
      <c r="D96" s="9" t="s">
        <v>231</v>
      </c>
      <c r="E96" s="3" t="s">
        <v>169</v>
      </c>
      <c r="F96" s="9" t="s">
        <v>231</v>
      </c>
      <c r="G96" s="3" t="s">
        <v>169</v>
      </c>
      <c r="H96" s="9" t="s">
        <v>405</v>
      </c>
      <c r="I96" s="3" t="s">
        <v>406</v>
      </c>
      <c r="J96" s="7"/>
    </row>
    <row r="97" spans="1:10" ht="36" x14ac:dyDescent="0.25">
      <c r="A97" s="3" t="s">
        <v>174</v>
      </c>
      <c r="B97" s="9" t="s">
        <v>407</v>
      </c>
      <c r="C97" s="3" t="s">
        <v>45</v>
      </c>
      <c r="D97" s="9" t="s">
        <v>408</v>
      </c>
      <c r="E97" s="3" t="s">
        <v>31</v>
      </c>
      <c r="F97" s="9" t="s">
        <v>45</v>
      </c>
      <c r="G97" s="3" t="s">
        <v>31</v>
      </c>
      <c r="H97" s="9" t="s">
        <v>173</v>
      </c>
      <c r="I97" s="3" t="s">
        <v>218</v>
      </c>
      <c r="J97" s="7"/>
    </row>
    <row r="98" spans="1:10" x14ac:dyDescent="0.25">
      <c r="A98" s="3" t="s">
        <v>176</v>
      </c>
      <c r="B98" s="9" t="s">
        <v>112</v>
      </c>
      <c r="C98" s="3" t="s">
        <v>112</v>
      </c>
      <c r="D98" s="9" t="s">
        <v>112</v>
      </c>
      <c r="E98" s="3" t="s">
        <v>112</v>
      </c>
      <c r="F98" s="9" t="s">
        <v>112</v>
      </c>
      <c r="G98" s="3" t="s">
        <v>112</v>
      </c>
      <c r="H98" s="9" t="s">
        <v>112</v>
      </c>
      <c r="I98" s="3" t="s">
        <v>112</v>
      </c>
      <c r="J98" s="7"/>
    </row>
    <row r="99" spans="1:10" ht="72" x14ac:dyDescent="0.25">
      <c r="A99" s="3" t="s">
        <v>177</v>
      </c>
      <c r="B99" s="9" t="s">
        <v>411</v>
      </c>
      <c r="C99" s="3" t="s">
        <v>412</v>
      </c>
      <c r="D99" s="9" t="s">
        <v>413</v>
      </c>
      <c r="E99" s="3" t="s">
        <v>414</v>
      </c>
      <c r="F99" s="9" t="s">
        <v>233</v>
      </c>
      <c r="G99" s="3" t="s">
        <v>414</v>
      </c>
      <c r="H99" s="9" t="s">
        <v>179</v>
      </c>
      <c r="I99" s="3" t="s">
        <v>415</v>
      </c>
      <c r="J99" s="7"/>
    </row>
    <row r="100" spans="1:10" ht="18" x14ac:dyDescent="0.25">
      <c r="A100" s="8" t="s">
        <v>180</v>
      </c>
      <c r="B100" s="8" t="s">
        <v>41</v>
      </c>
      <c r="C100" s="8" t="s">
        <v>42</v>
      </c>
      <c r="D100" s="8" t="s">
        <v>41</v>
      </c>
      <c r="E100" s="8" t="s">
        <v>42</v>
      </c>
      <c r="F100" s="8" t="s">
        <v>41</v>
      </c>
      <c r="G100" s="8" t="s">
        <v>42</v>
      </c>
      <c r="H100" s="8" t="s">
        <v>41</v>
      </c>
      <c r="I100" s="8" t="s">
        <v>42</v>
      </c>
      <c r="J100" s="7"/>
    </row>
    <row r="101" spans="1:10" ht="54" x14ac:dyDescent="0.25">
      <c r="A101" s="3" t="s">
        <v>185</v>
      </c>
      <c r="B101" s="9" t="s">
        <v>364</v>
      </c>
      <c r="C101" s="3" t="s">
        <v>45</v>
      </c>
      <c r="D101" s="9" t="s">
        <v>365</v>
      </c>
      <c r="E101" s="3" t="s">
        <v>31</v>
      </c>
      <c r="F101" s="9" t="s">
        <v>96</v>
      </c>
      <c r="G101" s="3" t="s">
        <v>31</v>
      </c>
      <c r="H101" s="9" t="s">
        <v>173</v>
      </c>
      <c r="I101" s="3" t="s">
        <v>218</v>
      </c>
      <c r="J101" s="7"/>
    </row>
    <row r="102" spans="1:10" ht="63" x14ac:dyDescent="0.25">
      <c r="A102" s="3" t="s">
        <v>189</v>
      </c>
      <c r="B102" s="9" t="s">
        <v>416</v>
      </c>
      <c r="C102" s="3" t="s">
        <v>191</v>
      </c>
      <c r="D102" s="9" t="s">
        <v>417</v>
      </c>
      <c r="E102" s="3" t="s">
        <v>183</v>
      </c>
      <c r="F102" s="9" t="s">
        <v>234</v>
      </c>
      <c r="G102" s="3" t="s">
        <v>183</v>
      </c>
      <c r="H102" s="9" t="s">
        <v>418</v>
      </c>
      <c r="I102" s="3" t="s">
        <v>419</v>
      </c>
      <c r="J102" s="7"/>
    </row>
    <row r="103" spans="1:10" ht="54" x14ac:dyDescent="0.25">
      <c r="A103" s="3" t="s">
        <v>192</v>
      </c>
      <c r="B103" s="9" t="s">
        <v>420</v>
      </c>
      <c r="C103" s="3" t="s">
        <v>235</v>
      </c>
      <c r="D103" s="9" t="s">
        <v>421</v>
      </c>
      <c r="E103" s="3" t="s">
        <v>422</v>
      </c>
      <c r="F103" s="9" t="s">
        <v>235</v>
      </c>
      <c r="G103" s="3" t="s">
        <v>422</v>
      </c>
      <c r="H103" s="9" t="s">
        <v>193</v>
      </c>
      <c r="I103" s="3" t="s">
        <v>423</v>
      </c>
      <c r="J103" s="7"/>
    </row>
    <row r="104" spans="1:10" ht="18" x14ac:dyDescent="0.25">
      <c r="A104" s="8" t="s">
        <v>194</v>
      </c>
      <c r="B104" s="8" t="s">
        <v>41</v>
      </c>
      <c r="C104" s="8" t="s">
        <v>42</v>
      </c>
      <c r="D104" s="8" t="s">
        <v>41</v>
      </c>
      <c r="E104" s="8" t="s">
        <v>42</v>
      </c>
      <c r="F104" s="8" t="s">
        <v>41</v>
      </c>
      <c r="G104" s="8" t="s">
        <v>42</v>
      </c>
      <c r="H104" s="8" t="s">
        <v>41</v>
      </c>
      <c r="I104" s="8" t="s">
        <v>42</v>
      </c>
      <c r="J104" s="7"/>
    </row>
    <row r="105" spans="1:10" ht="18" x14ac:dyDescent="0.25">
      <c r="A105" s="3" t="s">
        <v>195</v>
      </c>
      <c r="B105" s="9" t="s">
        <v>112</v>
      </c>
      <c r="C105" s="3" t="s">
        <v>112</v>
      </c>
      <c r="D105" s="9" t="s">
        <v>112</v>
      </c>
      <c r="E105" s="3" t="s">
        <v>112</v>
      </c>
      <c r="F105" s="9" t="s">
        <v>112</v>
      </c>
      <c r="G105" s="3" t="s">
        <v>112</v>
      </c>
      <c r="H105" s="9" t="s">
        <v>112</v>
      </c>
      <c r="I105" s="3" t="s">
        <v>112</v>
      </c>
      <c r="J105" s="7"/>
    </row>
    <row r="106" spans="1:10" ht="54" x14ac:dyDescent="0.25">
      <c r="A106" s="3" t="s">
        <v>202</v>
      </c>
      <c r="B106" s="9" t="s">
        <v>424</v>
      </c>
      <c r="C106" s="3" t="s">
        <v>425</v>
      </c>
      <c r="D106" s="9" t="s">
        <v>426</v>
      </c>
      <c r="E106" s="3" t="s">
        <v>427</v>
      </c>
      <c r="F106" s="9" t="s">
        <v>428</v>
      </c>
      <c r="G106" s="3" t="s">
        <v>429</v>
      </c>
      <c r="H106" s="9" t="s">
        <v>173</v>
      </c>
      <c r="I106" s="3" t="s">
        <v>431</v>
      </c>
      <c r="J106" s="7"/>
    </row>
    <row r="107" spans="1:10" ht="117" x14ac:dyDescent="0.25">
      <c r="A107" s="3" t="s">
        <v>204</v>
      </c>
      <c r="B107" s="9" t="s">
        <v>432</v>
      </c>
      <c r="C107" s="3" t="s">
        <v>296</v>
      </c>
      <c r="D107" s="9" t="s">
        <v>433</v>
      </c>
      <c r="E107" s="3" t="s">
        <v>298</v>
      </c>
      <c r="F107" s="9" t="s">
        <v>237</v>
      </c>
      <c r="G107" s="3" t="s">
        <v>298</v>
      </c>
      <c r="H107" s="9" t="s">
        <v>434</v>
      </c>
      <c r="I107" s="3" t="s">
        <v>435</v>
      </c>
      <c r="J107" s="7"/>
    </row>
  </sheetData>
  <autoFilter ref="A1:J1" xr:uid="{00000000-0009-0000-0000-000002000000}">
    <sortState xmlns:xlrd2="http://schemas.microsoft.com/office/spreadsheetml/2017/richdata2" ref="A2:J107">
      <sortCondition sortBy="cellColor" ref="A1" dxfId="1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"/>
  <sheetViews>
    <sheetView workbookViewId="0"/>
  </sheetViews>
  <sheetFormatPr defaultRowHeight="15" x14ac:dyDescent="0.25"/>
  <cols>
    <col min="3" max="3" width="9.140625" customWidth="1"/>
  </cols>
  <sheetData>
    <row r="1" spans="1:10" ht="46.15" customHeight="1" x14ac:dyDescent="0.25">
      <c r="A1" s="1"/>
      <c r="B1" s="124" t="s">
        <v>335</v>
      </c>
      <c r="C1" s="125"/>
      <c r="D1" s="124" t="s">
        <v>436</v>
      </c>
      <c r="E1" s="125"/>
      <c r="F1" s="124" t="s">
        <v>437</v>
      </c>
      <c r="G1" s="125"/>
      <c r="H1" s="124" t="s">
        <v>438</v>
      </c>
      <c r="I1" s="126"/>
      <c r="J1" s="2"/>
    </row>
    <row r="2" spans="1:10" ht="14.25" customHeight="1" x14ac:dyDescent="0.25">
      <c r="A2" s="111" t="s">
        <v>3</v>
      </c>
      <c r="B2" s="112"/>
      <c r="C2" s="112"/>
      <c r="D2" s="112"/>
      <c r="E2" s="112"/>
      <c r="F2" s="112"/>
      <c r="G2" s="112"/>
      <c r="H2" s="112"/>
      <c r="I2" s="112"/>
      <c r="J2" s="2"/>
    </row>
    <row r="3" spans="1:10" ht="14.25" customHeight="1" x14ac:dyDescent="0.25">
      <c r="A3" s="3" t="s">
        <v>4</v>
      </c>
      <c r="B3" s="113" t="s">
        <v>439</v>
      </c>
      <c r="C3" s="114"/>
      <c r="D3" s="115" t="s">
        <v>440</v>
      </c>
      <c r="E3" s="116"/>
      <c r="F3" s="113" t="s">
        <v>441</v>
      </c>
      <c r="G3" s="114"/>
      <c r="H3" s="115" t="s">
        <v>442</v>
      </c>
      <c r="I3" s="135"/>
      <c r="J3" s="2"/>
    </row>
    <row r="4" spans="1:10" ht="18" customHeight="1" x14ac:dyDescent="0.25">
      <c r="A4" s="3" t="s">
        <v>5</v>
      </c>
      <c r="B4" s="113" t="s">
        <v>335</v>
      </c>
      <c r="C4" s="114"/>
      <c r="D4" s="115" t="s">
        <v>436</v>
      </c>
      <c r="E4" s="116"/>
      <c r="F4" s="113" t="s">
        <v>437</v>
      </c>
      <c r="G4" s="114"/>
      <c r="H4" s="115" t="s">
        <v>438</v>
      </c>
      <c r="I4" s="135"/>
      <c r="J4" s="2"/>
    </row>
    <row r="5" spans="1:10" ht="18" x14ac:dyDescent="0.25">
      <c r="A5" s="3" t="s">
        <v>6</v>
      </c>
      <c r="B5" s="113" t="s">
        <v>7</v>
      </c>
      <c r="C5" s="114"/>
      <c r="D5" s="115" t="s">
        <v>8</v>
      </c>
      <c r="E5" s="116"/>
      <c r="F5" s="113" t="s">
        <v>8</v>
      </c>
      <c r="G5" s="114"/>
      <c r="H5" s="115" t="s">
        <v>8</v>
      </c>
      <c r="I5" s="135"/>
      <c r="J5" s="2"/>
    </row>
    <row r="6" spans="1:10" ht="54" customHeight="1" x14ac:dyDescent="0.25">
      <c r="A6" s="3" t="s">
        <v>9</v>
      </c>
      <c r="B6" s="113" t="s">
        <v>11</v>
      </c>
      <c r="C6" s="114"/>
      <c r="D6" s="115" t="s">
        <v>11</v>
      </c>
      <c r="E6" s="116"/>
      <c r="F6" s="113" t="s">
        <v>11</v>
      </c>
      <c r="G6" s="114"/>
      <c r="H6" s="115" t="s">
        <v>11</v>
      </c>
      <c r="I6" s="135"/>
      <c r="J6" s="4"/>
    </row>
    <row r="7" spans="1:10" ht="14.25" customHeight="1" x14ac:dyDescent="0.25">
      <c r="A7" s="3" t="s">
        <v>12</v>
      </c>
      <c r="B7" s="113" t="s">
        <v>14</v>
      </c>
      <c r="C7" s="114"/>
      <c r="D7" s="115" t="s">
        <v>14</v>
      </c>
      <c r="E7" s="116"/>
      <c r="F7" s="113" t="s">
        <v>14</v>
      </c>
      <c r="G7" s="114"/>
      <c r="H7" s="115" t="s">
        <v>14</v>
      </c>
      <c r="I7" s="135"/>
      <c r="J7" s="2"/>
    </row>
    <row r="8" spans="1:10" x14ac:dyDescent="0.25">
      <c r="A8" s="3" t="s">
        <v>15</v>
      </c>
      <c r="B8" s="113" t="s">
        <v>17</v>
      </c>
      <c r="C8" s="114"/>
      <c r="D8" s="115" t="s">
        <v>17</v>
      </c>
      <c r="E8" s="116"/>
      <c r="F8" s="113" t="s">
        <v>17</v>
      </c>
      <c r="G8" s="114"/>
      <c r="H8" s="115" t="s">
        <v>17</v>
      </c>
      <c r="I8" s="135"/>
      <c r="J8" s="2"/>
    </row>
    <row r="9" spans="1:10" ht="18" x14ac:dyDescent="0.25">
      <c r="A9" s="3" t="s">
        <v>18</v>
      </c>
      <c r="B9" s="113" t="s">
        <v>19</v>
      </c>
      <c r="C9" s="114"/>
      <c r="D9" s="115" t="s">
        <v>19</v>
      </c>
      <c r="E9" s="116"/>
      <c r="F9" s="113" t="s">
        <v>19</v>
      </c>
      <c r="G9" s="114"/>
      <c r="H9" s="115" t="s">
        <v>19</v>
      </c>
      <c r="I9" s="135"/>
      <c r="J9" s="2"/>
    </row>
    <row r="10" spans="1:10" ht="18" x14ac:dyDescent="0.25">
      <c r="A10" s="5" t="s">
        <v>20</v>
      </c>
      <c r="B10" s="111" t="s">
        <v>21</v>
      </c>
      <c r="C10" s="123"/>
      <c r="D10" s="111" t="s">
        <v>21</v>
      </c>
      <c r="E10" s="123"/>
      <c r="F10" s="111" t="s">
        <v>21</v>
      </c>
      <c r="G10" s="123"/>
      <c r="H10" s="111" t="s">
        <v>21</v>
      </c>
      <c r="I10" s="112"/>
      <c r="J10" s="2"/>
    </row>
    <row r="11" spans="1:10" x14ac:dyDescent="0.25">
      <c r="A11" s="96" t="s">
        <v>22</v>
      </c>
      <c r="B11" s="118">
        <v>438.64</v>
      </c>
      <c r="C11" s="119"/>
      <c r="D11" s="120">
        <v>438.68</v>
      </c>
      <c r="E11" s="121"/>
      <c r="F11" s="118">
        <v>438.93</v>
      </c>
      <c r="G11" s="119"/>
      <c r="H11" s="120">
        <v>439.44</v>
      </c>
      <c r="I11" s="133"/>
      <c r="J11" s="2"/>
    </row>
    <row r="12" spans="1:10" ht="18" x14ac:dyDescent="0.25">
      <c r="A12" s="96" t="s">
        <v>23</v>
      </c>
      <c r="B12" s="118">
        <v>877.27</v>
      </c>
      <c r="C12" s="119"/>
      <c r="D12" s="120">
        <v>877.35</v>
      </c>
      <c r="E12" s="121"/>
      <c r="F12" s="118">
        <v>877.87</v>
      </c>
      <c r="G12" s="119"/>
      <c r="H12" s="120">
        <v>878.88</v>
      </c>
      <c r="I12" s="133"/>
      <c r="J12" s="2"/>
    </row>
    <row r="13" spans="1:10" ht="18" x14ac:dyDescent="0.25">
      <c r="A13" s="96" t="s">
        <v>24</v>
      </c>
      <c r="B13" s="118">
        <v>745.68</v>
      </c>
      <c r="C13" s="119"/>
      <c r="D13" s="120">
        <v>745.75</v>
      </c>
      <c r="E13" s="121"/>
      <c r="F13" s="118">
        <v>746.19</v>
      </c>
      <c r="G13" s="119"/>
      <c r="H13" s="120">
        <v>747.05</v>
      </c>
      <c r="I13" s="133"/>
      <c r="J13" s="2"/>
    </row>
    <row r="14" spans="1:10" x14ac:dyDescent="0.25">
      <c r="A14" s="96" t="s">
        <v>25</v>
      </c>
      <c r="B14" s="118">
        <v>1250.1099999999999</v>
      </c>
      <c r="C14" s="119"/>
      <c r="D14" s="120">
        <v>1250.22</v>
      </c>
      <c r="E14" s="121"/>
      <c r="F14" s="118">
        <v>1250.96</v>
      </c>
      <c r="G14" s="119"/>
      <c r="H14" s="120">
        <v>1252.4000000000001</v>
      </c>
      <c r="I14" s="133"/>
      <c r="J14" s="2"/>
    </row>
    <row r="15" spans="1:10" ht="18" x14ac:dyDescent="0.25">
      <c r="A15" s="111" t="s">
        <v>26</v>
      </c>
      <c r="B15" s="112"/>
      <c r="C15" s="112"/>
      <c r="D15" s="112"/>
      <c r="E15" s="112"/>
      <c r="F15" s="112"/>
      <c r="G15" s="112"/>
      <c r="H15" s="112"/>
      <c r="I15" s="112"/>
      <c r="J15" s="2"/>
    </row>
    <row r="16" spans="1:10" ht="27" x14ac:dyDescent="0.25">
      <c r="A16" s="3" t="s">
        <v>27</v>
      </c>
      <c r="B16" s="113" t="s">
        <v>28</v>
      </c>
      <c r="C16" s="114"/>
      <c r="D16" s="115" t="s">
        <v>28</v>
      </c>
      <c r="E16" s="116"/>
      <c r="F16" s="113" t="s">
        <v>28</v>
      </c>
      <c r="G16" s="114"/>
      <c r="H16" s="115" t="s">
        <v>28</v>
      </c>
      <c r="I16" s="135"/>
      <c r="J16" s="6"/>
    </row>
    <row r="17" spans="1:10" x14ac:dyDescent="0.25">
      <c r="A17" s="3" t="s">
        <v>29</v>
      </c>
      <c r="B17" s="113" t="s">
        <v>28</v>
      </c>
      <c r="C17" s="114"/>
      <c r="D17" s="115" t="s">
        <v>28</v>
      </c>
      <c r="E17" s="116"/>
      <c r="F17" s="113" t="s">
        <v>28</v>
      </c>
      <c r="G17" s="114"/>
      <c r="H17" s="115" t="s">
        <v>28</v>
      </c>
      <c r="I17" s="135"/>
      <c r="J17" s="2"/>
    </row>
    <row r="18" spans="1:10" ht="18" customHeight="1" x14ac:dyDescent="0.25">
      <c r="A18" s="3" t="s">
        <v>30</v>
      </c>
      <c r="B18" s="113" t="s">
        <v>218</v>
      </c>
      <c r="C18" s="114"/>
      <c r="D18" s="115" t="s">
        <v>218</v>
      </c>
      <c r="E18" s="116"/>
      <c r="F18" s="113" t="s">
        <v>218</v>
      </c>
      <c r="G18" s="114"/>
      <c r="H18" s="115" t="s">
        <v>218</v>
      </c>
      <c r="I18" s="135"/>
      <c r="J18" s="2"/>
    </row>
    <row r="19" spans="1:10" ht="27" customHeight="1" x14ac:dyDescent="0.25">
      <c r="A19" s="3" t="s">
        <v>32</v>
      </c>
      <c r="B19" s="113" t="s">
        <v>33</v>
      </c>
      <c r="C19" s="114"/>
      <c r="D19" s="115" t="s">
        <v>33</v>
      </c>
      <c r="E19" s="116"/>
      <c r="F19" s="113" t="s">
        <v>33</v>
      </c>
      <c r="G19" s="114"/>
      <c r="H19" s="115" t="s">
        <v>33</v>
      </c>
      <c r="I19" s="135"/>
      <c r="J19" s="6"/>
    </row>
    <row r="20" spans="1:10" ht="18" customHeight="1" x14ac:dyDescent="0.25">
      <c r="A20" s="3" t="s">
        <v>34</v>
      </c>
      <c r="B20" s="113" t="s">
        <v>35</v>
      </c>
      <c r="C20" s="114"/>
      <c r="D20" s="115" t="s">
        <v>35</v>
      </c>
      <c r="E20" s="116"/>
      <c r="F20" s="113" t="s">
        <v>35</v>
      </c>
      <c r="G20" s="114"/>
      <c r="H20" s="115" t="s">
        <v>35</v>
      </c>
      <c r="I20" s="135"/>
      <c r="J20" s="6"/>
    </row>
    <row r="21" spans="1:10" ht="18" x14ac:dyDescent="0.25">
      <c r="A21" s="3" t="s">
        <v>36</v>
      </c>
      <c r="B21" s="113" t="s">
        <v>37</v>
      </c>
      <c r="C21" s="114"/>
      <c r="D21" s="115" t="s">
        <v>37</v>
      </c>
      <c r="E21" s="116"/>
      <c r="F21" s="113" t="s">
        <v>37</v>
      </c>
      <c r="G21" s="114"/>
      <c r="H21" s="115" t="s">
        <v>37</v>
      </c>
      <c r="I21" s="135"/>
      <c r="J21" s="2"/>
    </row>
    <row r="22" spans="1:10" ht="18" customHeight="1" x14ac:dyDescent="0.25">
      <c r="A22" s="108" t="s">
        <v>38</v>
      </c>
      <c r="B22" s="150" t="s">
        <v>340</v>
      </c>
      <c r="C22" s="151"/>
      <c r="D22" s="146" t="s">
        <v>340</v>
      </c>
      <c r="E22" s="152"/>
      <c r="F22" s="150" t="s">
        <v>340</v>
      </c>
      <c r="G22" s="151"/>
      <c r="H22" s="146" t="s">
        <v>340</v>
      </c>
      <c r="I22" s="147"/>
      <c r="J22" s="136"/>
    </row>
    <row r="23" spans="1:10" ht="45" customHeight="1" x14ac:dyDescent="0.25">
      <c r="A23" s="109"/>
      <c r="B23" s="144" t="s">
        <v>443</v>
      </c>
      <c r="C23" s="145"/>
      <c r="D23" s="148" t="s">
        <v>443</v>
      </c>
      <c r="E23" s="153"/>
      <c r="F23" s="144" t="s">
        <v>443</v>
      </c>
      <c r="G23" s="145"/>
      <c r="H23" s="148" t="s">
        <v>443</v>
      </c>
      <c r="I23" s="149"/>
      <c r="J23" s="136"/>
    </row>
    <row r="24" spans="1:10" ht="14.25" customHeight="1" x14ac:dyDescent="0.25">
      <c r="A24" s="14"/>
      <c r="B24" s="113" t="s">
        <v>444</v>
      </c>
      <c r="C24" s="114"/>
      <c r="D24" s="115" t="s">
        <v>444</v>
      </c>
      <c r="E24" s="116"/>
      <c r="F24" s="113" t="s">
        <v>444</v>
      </c>
      <c r="G24" s="114"/>
      <c r="H24" s="115" t="s">
        <v>444</v>
      </c>
      <c r="I24" s="135"/>
      <c r="J24" s="7"/>
    </row>
    <row r="25" spans="1:10" ht="14.25" customHeight="1" x14ac:dyDescent="0.25">
      <c r="A25" s="111" t="s">
        <v>40</v>
      </c>
      <c r="B25" s="112"/>
      <c r="C25" s="112"/>
      <c r="D25" s="112"/>
      <c r="E25" s="112"/>
      <c r="F25" s="112"/>
      <c r="G25" s="112"/>
      <c r="H25" s="112"/>
      <c r="I25" s="112"/>
      <c r="J25" s="7"/>
    </row>
    <row r="26" spans="1:10" ht="27" x14ac:dyDescent="0.25">
      <c r="A26" s="8" t="s">
        <v>40</v>
      </c>
      <c r="B26" s="8" t="s">
        <v>41</v>
      </c>
      <c r="C26" s="8" t="s">
        <v>42</v>
      </c>
      <c r="D26" s="8" t="s">
        <v>41</v>
      </c>
      <c r="E26" s="8" t="s">
        <v>42</v>
      </c>
      <c r="F26" s="8" t="s">
        <v>41</v>
      </c>
      <c r="G26" s="8" t="s">
        <v>42</v>
      </c>
      <c r="H26" s="8" t="s">
        <v>41</v>
      </c>
      <c r="I26" s="8" t="s">
        <v>42</v>
      </c>
      <c r="J26" s="7"/>
    </row>
    <row r="27" spans="1:10" ht="36" x14ac:dyDescent="0.25">
      <c r="A27" s="96" t="s">
        <v>43</v>
      </c>
      <c r="B27" s="9" t="s">
        <v>173</v>
      </c>
      <c r="C27" s="3" t="s">
        <v>218</v>
      </c>
      <c r="D27" s="9" t="s">
        <v>173</v>
      </c>
      <c r="E27" s="3" t="s">
        <v>218</v>
      </c>
      <c r="F27" s="9" t="s">
        <v>218</v>
      </c>
      <c r="G27" s="3" t="s">
        <v>218</v>
      </c>
      <c r="H27" s="9" t="s">
        <v>49</v>
      </c>
      <c r="I27" s="3" t="s">
        <v>218</v>
      </c>
      <c r="J27" s="7"/>
    </row>
    <row r="28" spans="1:10" ht="36" x14ac:dyDescent="0.25">
      <c r="A28" s="96" t="s">
        <v>47</v>
      </c>
      <c r="B28" s="9" t="s">
        <v>173</v>
      </c>
      <c r="C28" s="3" t="s">
        <v>218</v>
      </c>
      <c r="D28" s="9" t="s">
        <v>173</v>
      </c>
      <c r="E28" s="3" t="s">
        <v>218</v>
      </c>
      <c r="F28" s="9" t="s">
        <v>218</v>
      </c>
      <c r="G28" s="3" t="s">
        <v>218</v>
      </c>
      <c r="H28" s="9" t="s">
        <v>227</v>
      </c>
      <c r="I28" s="3" t="s">
        <v>218</v>
      </c>
      <c r="J28" s="7"/>
    </row>
    <row r="29" spans="1:10" ht="18" x14ac:dyDescent="0.25">
      <c r="A29" s="96" t="s">
        <v>50</v>
      </c>
      <c r="B29" s="9" t="s">
        <v>287</v>
      </c>
      <c r="C29" s="3" t="s">
        <v>53</v>
      </c>
      <c r="D29" s="9" t="s">
        <v>287</v>
      </c>
      <c r="E29" s="3" t="s">
        <v>53</v>
      </c>
      <c r="F29" s="9" t="s">
        <v>53</v>
      </c>
      <c r="G29" s="3" t="s">
        <v>53</v>
      </c>
      <c r="H29" s="9" t="s">
        <v>53</v>
      </c>
      <c r="I29" s="3" t="s">
        <v>53</v>
      </c>
      <c r="J29" s="7"/>
    </row>
    <row r="30" spans="1:10" ht="18" customHeight="1" x14ac:dyDescent="0.25">
      <c r="A30" s="97" t="s">
        <v>54</v>
      </c>
      <c r="B30" s="106" t="s">
        <v>351</v>
      </c>
      <c r="C30" s="10" t="s">
        <v>347</v>
      </c>
      <c r="D30" s="106" t="s">
        <v>445</v>
      </c>
      <c r="E30" s="10" t="s">
        <v>347</v>
      </c>
      <c r="F30" s="106" t="s">
        <v>446</v>
      </c>
      <c r="G30" s="10" t="s">
        <v>347</v>
      </c>
      <c r="H30" s="106" t="s">
        <v>447</v>
      </c>
      <c r="I30" s="10" t="s">
        <v>347</v>
      </c>
      <c r="J30" s="110"/>
    </row>
    <row r="31" spans="1:10" ht="18" x14ac:dyDescent="0.25">
      <c r="A31" s="141"/>
      <c r="B31" s="142"/>
      <c r="C31" s="87" t="s">
        <v>352</v>
      </c>
      <c r="D31" s="142"/>
      <c r="E31" s="87" t="s">
        <v>352</v>
      </c>
      <c r="F31" s="142"/>
      <c r="G31" s="87" t="s">
        <v>352</v>
      </c>
      <c r="H31" s="142"/>
      <c r="I31" s="87" t="s">
        <v>352</v>
      </c>
      <c r="J31" s="110"/>
    </row>
    <row r="32" spans="1:10" ht="18" x14ac:dyDescent="0.25">
      <c r="A32" s="104"/>
      <c r="B32" s="107"/>
      <c r="C32" s="15" t="s">
        <v>353</v>
      </c>
      <c r="D32" s="107"/>
      <c r="E32" s="15" t="s">
        <v>353</v>
      </c>
      <c r="F32" s="107"/>
      <c r="G32" s="15" t="s">
        <v>353</v>
      </c>
      <c r="H32" s="107"/>
      <c r="I32" s="15" t="s">
        <v>353</v>
      </c>
      <c r="J32" s="110"/>
    </row>
    <row r="33" spans="1:10" ht="18" x14ac:dyDescent="0.25">
      <c r="A33" s="97" t="s">
        <v>60</v>
      </c>
      <c r="B33" s="11" t="s">
        <v>359</v>
      </c>
      <c r="C33" s="10" t="s">
        <v>352</v>
      </c>
      <c r="D33" s="11" t="s">
        <v>448</v>
      </c>
      <c r="E33" s="10" t="s">
        <v>352</v>
      </c>
      <c r="F33" s="11" t="s">
        <v>448</v>
      </c>
      <c r="G33" s="10" t="s">
        <v>352</v>
      </c>
      <c r="H33" s="11" t="s">
        <v>448</v>
      </c>
      <c r="I33" s="10" t="s">
        <v>352</v>
      </c>
      <c r="J33" s="110"/>
    </row>
    <row r="34" spans="1:10" ht="18" x14ac:dyDescent="0.25">
      <c r="A34" s="104"/>
      <c r="B34" s="12" t="s">
        <v>360</v>
      </c>
      <c r="C34" s="15" t="s">
        <v>353</v>
      </c>
      <c r="D34" s="12" t="s">
        <v>449</v>
      </c>
      <c r="E34" s="15" t="s">
        <v>353</v>
      </c>
      <c r="F34" s="12" t="s">
        <v>449</v>
      </c>
      <c r="G34" s="15" t="s">
        <v>353</v>
      </c>
      <c r="H34" s="12" t="s">
        <v>449</v>
      </c>
      <c r="I34" s="15" t="s">
        <v>353</v>
      </c>
      <c r="J34" s="110"/>
    </row>
    <row r="35" spans="1:10" ht="18" x14ac:dyDescent="0.25">
      <c r="A35" s="3" t="s">
        <v>65</v>
      </c>
      <c r="B35" s="9" t="s">
        <v>66</v>
      </c>
      <c r="C35" s="3" t="s">
        <v>66</v>
      </c>
      <c r="D35" s="9" t="s">
        <v>66</v>
      </c>
      <c r="E35" s="3" t="s">
        <v>66</v>
      </c>
      <c r="F35" s="9" t="s">
        <v>66</v>
      </c>
      <c r="G35" s="3" t="s">
        <v>66</v>
      </c>
      <c r="H35" s="9" t="s">
        <v>66</v>
      </c>
      <c r="I35" s="3" t="s">
        <v>66</v>
      </c>
      <c r="J35" s="7"/>
    </row>
    <row r="36" spans="1:10" ht="18" x14ac:dyDescent="0.25">
      <c r="A36" s="111" t="s">
        <v>67</v>
      </c>
      <c r="B36" s="112"/>
      <c r="C36" s="112"/>
      <c r="D36" s="112"/>
      <c r="E36" s="112"/>
      <c r="F36" s="112"/>
      <c r="G36" s="112"/>
      <c r="H36" s="112"/>
      <c r="I36" s="112"/>
      <c r="J36" s="7"/>
    </row>
    <row r="37" spans="1:10" ht="27" x14ac:dyDescent="0.25">
      <c r="A37" s="8" t="s">
        <v>68</v>
      </c>
      <c r="B37" s="8" t="s">
        <v>41</v>
      </c>
      <c r="C37" s="8" t="s">
        <v>42</v>
      </c>
      <c r="D37" s="8" t="s">
        <v>41</v>
      </c>
      <c r="E37" s="8" t="s">
        <v>42</v>
      </c>
      <c r="F37" s="8" t="s">
        <v>41</v>
      </c>
      <c r="G37" s="8" t="s">
        <v>42</v>
      </c>
      <c r="H37" s="8" t="s">
        <v>41</v>
      </c>
      <c r="I37" s="8" t="s">
        <v>42</v>
      </c>
      <c r="J37" s="7"/>
    </row>
    <row r="38" spans="1:10" ht="36" x14ac:dyDescent="0.25">
      <c r="A38" s="96" t="s">
        <v>69</v>
      </c>
      <c r="B38" s="9" t="s">
        <v>70</v>
      </c>
      <c r="C38" s="3" t="s">
        <v>218</v>
      </c>
      <c r="D38" s="9" t="s">
        <v>70</v>
      </c>
      <c r="E38" s="3" t="s">
        <v>218</v>
      </c>
      <c r="F38" s="9" t="s">
        <v>70</v>
      </c>
      <c r="G38" s="3" t="s">
        <v>218</v>
      </c>
      <c r="H38" s="9" t="s">
        <v>70</v>
      </c>
      <c r="I38" s="3" t="s">
        <v>218</v>
      </c>
      <c r="J38" s="7"/>
    </row>
    <row r="39" spans="1:10" ht="36" x14ac:dyDescent="0.25">
      <c r="A39" s="3" t="s">
        <v>71</v>
      </c>
      <c r="B39" s="9" t="s">
        <v>70</v>
      </c>
      <c r="C39" s="3" t="s">
        <v>218</v>
      </c>
      <c r="D39" s="9" t="s">
        <v>70</v>
      </c>
      <c r="E39" s="3" t="s">
        <v>218</v>
      </c>
      <c r="F39" s="9" t="s">
        <v>70</v>
      </c>
      <c r="G39" s="3" t="s">
        <v>218</v>
      </c>
      <c r="H39" s="9" t="s">
        <v>70</v>
      </c>
      <c r="I39" s="3" t="s">
        <v>218</v>
      </c>
      <c r="J39" s="7"/>
    </row>
    <row r="40" spans="1:10" ht="36" x14ac:dyDescent="0.25">
      <c r="A40" s="96" t="s">
        <v>72</v>
      </c>
      <c r="B40" s="9" t="s">
        <v>70</v>
      </c>
      <c r="C40" s="3" t="s">
        <v>218</v>
      </c>
      <c r="D40" s="9" t="s">
        <v>70</v>
      </c>
      <c r="E40" s="3" t="s">
        <v>218</v>
      </c>
      <c r="F40" s="9" t="s">
        <v>70</v>
      </c>
      <c r="G40" s="3" t="s">
        <v>218</v>
      </c>
      <c r="H40" s="9" t="s">
        <v>70</v>
      </c>
      <c r="I40" s="3" t="s">
        <v>218</v>
      </c>
      <c r="J40" s="7"/>
    </row>
    <row r="41" spans="1:10" ht="36" x14ac:dyDescent="0.25">
      <c r="A41" s="3" t="s">
        <v>73</v>
      </c>
      <c r="B41" s="9" t="s">
        <v>70</v>
      </c>
      <c r="C41" s="3" t="s">
        <v>218</v>
      </c>
      <c r="D41" s="9" t="s">
        <v>70</v>
      </c>
      <c r="E41" s="3" t="s">
        <v>218</v>
      </c>
      <c r="F41" s="9" t="s">
        <v>70</v>
      </c>
      <c r="G41" s="3" t="s">
        <v>218</v>
      </c>
      <c r="H41" s="9" t="s">
        <v>70</v>
      </c>
      <c r="I41" s="3" t="s">
        <v>218</v>
      </c>
      <c r="J41" s="7"/>
    </row>
    <row r="42" spans="1:10" ht="36" x14ac:dyDescent="0.25">
      <c r="A42" s="3" t="s">
        <v>74</v>
      </c>
      <c r="B42" s="9" t="s">
        <v>70</v>
      </c>
      <c r="C42" s="3" t="s">
        <v>218</v>
      </c>
      <c r="D42" s="9" t="s">
        <v>70</v>
      </c>
      <c r="E42" s="3" t="s">
        <v>218</v>
      </c>
      <c r="F42" s="9" t="s">
        <v>70</v>
      </c>
      <c r="G42" s="3" t="s">
        <v>218</v>
      </c>
      <c r="H42" s="9" t="s">
        <v>70</v>
      </c>
      <c r="I42" s="3" t="s">
        <v>218</v>
      </c>
      <c r="J42" s="7"/>
    </row>
    <row r="43" spans="1:10" ht="36" x14ac:dyDescent="0.25">
      <c r="A43" s="96" t="s">
        <v>75</v>
      </c>
      <c r="B43" s="9" t="s">
        <v>70</v>
      </c>
      <c r="C43" s="3" t="s">
        <v>218</v>
      </c>
      <c r="D43" s="9" t="s">
        <v>70</v>
      </c>
      <c r="E43" s="3" t="s">
        <v>218</v>
      </c>
      <c r="F43" s="9" t="s">
        <v>70</v>
      </c>
      <c r="G43" s="3" t="s">
        <v>218</v>
      </c>
      <c r="H43" s="9" t="s">
        <v>70</v>
      </c>
      <c r="I43" s="3" t="s">
        <v>218</v>
      </c>
      <c r="J43" s="7"/>
    </row>
    <row r="44" spans="1:10" ht="36" x14ac:dyDescent="0.25">
      <c r="A44" s="96" t="s">
        <v>76</v>
      </c>
      <c r="B44" s="9" t="s">
        <v>70</v>
      </c>
      <c r="C44" s="3" t="s">
        <v>218</v>
      </c>
      <c r="D44" s="9" t="s">
        <v>70</v>
      </c>
      <c r="E44" s="3" t="s">
        <v>218</v>
      </c>
      <c r="F44" s="9" t="s">
        <v>70</v>
      </c>
      <c r="G44" s="3" t="s">
        <v>218</v>
      </c>
      <c r="H44" s="9" t="s">
        <v>70</v>
      </c>
      <c r="I44" s="3" t="s">
        <v>218</v>
      </c>
      <c r="J44" s="7"/>
    </row>
    <row r="45" spans="1:10" ht="36" x14ac:dyDescent="0.25">
      <c r="A45" s="3" t="s">
        <v>77</v>
      </c>
      <c r="B45" s="9" t="s">
        <v>78</v>
      </c>
      <c r="C45" s="3" t="s">
        <v>218</v>
      </c>
      <c r="D45" s="9" t="s">
        <v>78</v>
      </c>
      <c r="E45" s="3" t="s">
        <v>218</v>
      </c>
      <c r="F45" s="9" t="s">
        <v>78</v>
      </c>
      <c r="G45" s="3" t="s">
        <v>218</v>
      </c>
      <c r="H45" s="9" t="s">
        <v>78</v>
      </c>
      <c r="I45" s="3" t="s">
        <v>218</v>
      </c>
      <c r="J45" s="7"/>
    </row>
    <row r="46" spans="1:10" ht="27" x14ac:dyDescent="0.25">
      <c r="A46" s="10" t="s">
        <v>79</v>
      </c>
      <c r="B46" s="11" t="s">
        <v>70</v>
      </c>
      <c r="C46" s="10" t="s">
        <v>450</v>
      </c>
      <c r="D46" s="11" t="s">
        <v>70</v>
      </c>
      <c r="E46" s="10" t="s">
        <v>450</v>
      </c>
      <c r="F46" s="11" t="s">
        <v>70</v>
      </c>
      <c r="G46" s="10" t="s">
        <v>450</v>
      </c>
      <c r="H46" s="11" t="s">
        <v>70</v>
      </c>
      <c r="I46" s="10" t="s">
        <v>450</v>
      </c>
      <c r="J46" s="7"/>
    </row>
    <row r="47" spans="1:10" x14ac:dyDescent="0.25">
      <c r="A47" s="14"/>
      <c r="B47" s="13"/>
      <c r="C47" s="3" t="s">
        <v>166</v>
      </c>
      <c r="D47" s="13"/>
      <c r="E47" s="3" t="s">
        <v>166</v>
      </c>
      <c r="F47" s="13"/>
      <c r="G47" s="3" t="s">
        <v>166</v>
      </c>
      <c r="H47" s="13"/>
      <c r="I47" s="3" t="s">
        <v>166</v>
      </c>
      <c r="J47" s="7"/>
    </row>
    <row r="48" spans="1:10" ht="27" x14ac:dyDescent="0.25">
      <c r="A48" s="8" t="s">
        <v>80</v>
      </c>
      <c r="B48" s="8" t="s">
        <v>41</v>
      </c>
      <c r="C48" s="8" t="s">
        <v>42</v>
      </c>
      <c r="D48" s="8" t="s">
        <v>41</v>
      </c>
      <c r="E48" s="8" t="s">
        <v>42</v>
      </c>
      <c r="F48" s="8" t="s">
        <v>41</v>
      </c>
      <c r="G48" s="8" t="s">
        <v>42</v>
      </c>
      <c r="H48" s="8" t="s">
        <v>41</v>
      </c>
      <c r="I48" s="8" t="s">
        <v>42</v>
      </c>
      <c r="J48" s="7"/>
    </row>
    <row r="49" spans="1:10" ht="54" x14ac:dyDescent="0.25">
      <c r="A49" s="3" t="s">
        <v>81</v>
      </c>
      <c r="B49" s="9" t="s">
        <v>173</v>
      </c>
      <c r="C49" s="3" t="s">
        <v>218</v>
      </c>
      <c r="D49" s="9" t="s">
        <v>173</v>
      </c>
      <c r="E49" s="3" t="s">
        <v>218</v>
      </c>
      <c r="F49" s="9" t="s">
        <v>218</v>
      </c>
      <c r="G49" s="3" t="s">
        <v>218</v>
      </c>
      <c r="H49" s="9" t="s">
        <v>451</v>
      </c>
      <c r="I49" s="3" t="s">
        <v>218</v>
      </c>
      <c r="J49" s="7"/>
    </row>
    <row r="50" spans="1:10" ht="36" x14ac:dyDescent="0.25">
      <c r="A50" s="96" t="s">
        <v>83</v>
      </c>
      <c r="B50" s="9" t="s">
        <v>84</v>
      </c>
      <c r="C50" s="3" t="s">
        <v>218</v>
      </c>
      <c r="D50" s="9" t="s">
        <v>84</v>
      </c>
      <c r="E50" s="3" t="s">
        <v>218</v>
      </c>
      <c r="F50" s="9" t="s">
        <v>84</v>
      </c>
      <c r="G50" s="3" t="s">
        <v>218</v>
      </c>
      <c r="H50" s="9" t="s">
        <v>84</v>
      </c>
      <c r="I50" s="3" t="s">
        <v>218</v>
      </c>
      <c r="J50" s="7"/>
    </row>
    <row r="51" spans="1:10" ht="36" x14ac:dyDescent="0.25">
      <c r="A51" s="96" t="s">
        <v>85</v>
      </c>
      <c r="B51" s="9" t="s">
        <v>173</v>
      </c>
      <c r="C51" s="3" t="s">
        <v>218</v>
      </c>
      <c r="D51" s="9" t="s">
        <v>173</v>
      </c>
      <c r="E51" s="3" t="s">
        <v>218</v>
      </c>
      <c r="F51" s="9" t="s">
        <v>218</v>
      </c>
      <c r="G51" s="3" t="s">
        <v>218</v>
      </c>
      <c r="H51" s="9" t="s">
        <v>227</v>
      </c>
      <c r="I51" s="3" t="s">
        <v>218</v>
      </c>
      <c r="J51" s="7"/>
    </row>
    <row r="52" spans="1:10" ht="36" x14ac:dyDescent="0.25">
      <c r="A52" s="3" t="s">
        <v>138</v>
      </c>
      <c r="B52" s="9" t="s">
        <v>173</v>
      </c>
      <c r="C52" s="3" t="s">
        <v>218</v>
      </c>
      <c r="D52" s="9" t="s">
        <v>173</v>
      </c>
      <c r="E52" s="3" t="s">
        <v>218</v>
      </c>
      <c r="F52" s="9" t="s">
        <v>218</v>
      </c>
      <c r="G52" s="3" t="s">
        <v>218</v>
      </c>
      <c r="H52" s="9" t="s">
        <v>139</v>
      </c>
      <c r="I52" s="3" t="s">
        <v>218</v>
      </c>
      <c r="J52" s="7"/>
    </row>
    <row r="53" spans="1:10" ht="36" x14ac:dyDescent="0.25">
      <c r="A53" s="96" t="s">
        <v>94</v>
      </c>
      <c r="B53" s="9" t="s">
        <v>173</v>
      </c>
      <c r="C53" s="3" t="s">
        <v>218</v>
      </c>
      <c r="D53" s="9" t="s">
        <v>173</v>
      </c>
      <c r="E53" s="3" t="s">
        <v>218</v>
      </c>
      <c r="F53" s="9" t="s">
        <v>218</v>
      </c>
      <c r="G53" s="3" t="s">
        <v>218</v>
      </c>
      <c r="H53" s="9" t="s">
        <v>49</v>
      </c>
      <c r="I53" s="3" t="s">
        <v>218</v>
      </c>
      <c r="J53" s="7"/>
    </row>
    <row r="54" spans="1:10" ht="54" x14ac:dyDescent="0.25">
      <c r="A54" s="3" t="s">
        <v>95</v>
      </c>
      <c r="B54" s="9" t="s">
        <v>173</v>
      </c>
      <c r="C54" s="3" t="s">
        <v>218</v>
      </c>
      <c r="D54" s="9" t="s">
        <v>173</v>
      </c>
      <c r="E54" s="3" t="s">
        <v>218</v>
      </c>
      <c r="F54" s="9" t="s">
        <v>218</v>
      </c>
      <c r="G54" s="3" t="s">
        <v>218</v>
      </c>
      <c r="H54" s="9" t="s">
        <v>452</v>
      </c>
      <c r="I54" s="3" t="s">
        <v>218</v>
      </c>
      <c r="J54" s="7"/>
    </row>
    <row r="55" spans="1:10" ht="54" x14ac:dyDescent="0.25">
      <c r="A55" s="3" t="s">
        <v>97</v>
      </c>
      <c r="B55" s="9" t="s">
        <v>173</v>
      </c>
      <c r="C55" s="3" t="s">
        <v>218</v>
      </c>
      <c r="D55" s="9" t="s">
        <v>173</v>
      </c>
      <c r="E55" s="3" t="s">
        <v>218</v>
      </c>
      <c r="F55" s="9" t="s">
        <v>218</v>
      </c>
      <c r="G55" s="3" t="s">
        <v>218</v>
      </c>
      <c r="H55" s="9" t="s">
        <v>452</v>
      </c>
      <c r="I55" s="3" t="s">
        <v>218</v>
      </c>
      <c r="J55" s="7"/>
    </row>
    <row r="56" spans="1:10" ht="36" x14ac:dyDescent="0.25">
      <c r="A56" s="96" t="s">
        <v>98</v>
      </c>
      <c r="B56" s="9" t="s">
        <v>173</v>
      </c>
      <c r="C56" s="3" t="s">
        <v>218</v>
      </c>
      <c r="D56" s="9" t="s">
        <v>173</v>
      </c>
      <c r="E56" s="3" t="s">
        <v>218</v>
      </c>
      <c r="F56" s="9" t="s">
        <v>218</v>
      </c>
      <c r="G56" s="3" t="s">
        <v>218</v>
      </c>
      <c r="H56" s="9" t="s">
        <v>101</v>
      </c>
      <c r="I56" s="3" t="s">
        <v>218</v>
      </c>
      <c r="J56" s="7"/>
    </row>
    <row r="57" spans="1:10" ht="36" x14ac:dyDescent="0.25">
      <c r="A57" s="96" t="s">
        <v>100</v>
      </c>
      <c r="B57" s="9" t="s">
        <v>173</v>
      </c>
      <c r="C57" s="3" t="s">
        <v>218</v>
      </c>
      <c r="D57" s="9" t="s">
        <v>173</v>
      </c>
      <c r="E57" s="3" t="s">
        <v>218</v>
      </c>
      <c r="F57" s="9" t="s">
        <v>218</v>
      </c>
      <c r="G57" s="3" t="s">
        <v>218</v>
      </c>
      <c r="H57" s="9" t="s">
        <v>453</v>
      </c>
      <c r="I57" s="3" t="s">
        <v>218</v>
      </c>
      <c r="J57" s="7"/>
    </row>
    <row r="58" spans="1:10" ht="18" x14ac:dyDescent="0.25">
      <c r="A58" s="8" t="s">
        <v>102</v>
      </c>
      <c r="B58" s="8" t="s">
        <v>41</v>
      </c>
      <c r="C58" s="8" t="s">
        <v>42</v>
      </c>
      <c r="D58" s="8" t="s">
        <v>41</v>
      </c>
      <c r="E58" s="8" t="s">
        <v>42</v>
      </c>
      <c r="F58" s="8" t="s">
        <v>41</v>
      </c>
      <c r="G58" s="8" t="s">
        <v>42</v>
      </c>
      <c r="H58" s="8" t="s">
        <v>41</v>
      </c>
      <c r="I58" s="8" t="s">
        <v>42</v>
      </c>
      <c r="J58" s="7"/>
    </row>
    <row r="59" spans="1:10" ht="63" x14ac:dyDescent="0.25">
      <c r="A59" s="96" t="s">
        <v>103</v>
      </c>
      <c r="B59" s="9" t="s">
        <v>104</v>
      </c>
      <c r="C59" s="3" t="s">
        <v>218</v>
      </c>
      <c r="D59" s="9" t="s">
        <v>104</v>
      </c>
      <c r="E59" s="3" t="s">
        <v>218</v>
      </c>
      <c r="F59" s="9" t="s">
        <v>104</v>
      </c>
      <c r="G59" s="3" t="s">
        <v>218</v>
      </c>
      <c r="H59" s="9" t="s">
        <v>104</v>
      </c>
      <c r="I59" s="3" t="s">
        <v>218</v>
      </c>
      <c r="J59" s="7"/>
    </row>
    <row r="60" spans="1:10" ht="54" x14ac:dyDescent="0.25">
      <c r="A60" s="3" t="s">
        <v>105</v>
      </c>
      <c r="B60" s="9" t="s">
        <v>173</v>
      </c>
      <c r="C60" s="3" t="s">
        <v>374</v>
      </c>
      <c r="D60" s="9" t="s">
        <v>173</v>
      </c>
      <c r="E60" s="3" t="s">
        <v>218</v>
      </c>
      <c r="F60" s="9" t="s">
        <v>218</v>
      </c>
      <c r="G60" s="3" t="s">
        <v>218</v>
      </c>
      <c r="H60" s="9" t="s">
        <v>373</v>
      </c>
      <c r="I60" s="3" t="s">
        <v>374</v>
      </c>
      <c r="J60" s="7"/>
    </row>
    <row r="61" spans="1:10" ht="45" x14ac:dyDescent="0.25">
      <c r="A61" s="3" t="s">
        <v>108</v>
      </c>
      <c r="B61" s="9" t="s">
        <v>173</v>
      </c>
      <c r="C61" s="3" t="s">
        <v>374</v>
      </c>
      <c r="D61" s="9" t="s">
        <v>173</v>
      </c>
      <c r="E61" s="3" t="s">
        <v>218</v>
      </c>
      <c r="F61" s="9" t="s">
        <v>218</v>
      </c>
      <c r="G61" s="3" t="s">
        <v>218</v>
      </c>
      <c r="H61" s="9" t="s">
        <v>84</v>
      </c>
      <c r="I61" s="3" t="s">
        <v>374</v>
      </c>
      <c r="J61" s="7"/>
    </row>
    <row r="62" spans="1:10" ht="18" x14ac:dyDescent="0.25">
      <c r="A62" s="8" t="s">
        <v>109</v>
      </c>
      <c r="B62" s="8" t="s">
        <v>41</v>
      </c>
      <c r="C62" s="8" t="s">
        <v>42</v>
      </c>
      <c r="D62" s="8" t="s">
        <v>41</v>
      </c>
      <c r="E62" s="8" t="s">
        <v>42</v>
      </c>
      <c r="F62" s="8" t="s">
        <v>41</v>
      </c>
      <c r="G62" s="8" t="s">
        <v>42</v>
      </c>
      <c r="H62" s="8" t="s">
        <v>41</v>
      </c>
      <c r="I62" s="8" t="s">
        <v>42</v>
      </c>
      <c r="J62" s="7"/>
    </row>
    <row r="63" spans="1:10" ht="18" x14ac:dyDescent="0.25">
      <c r="A63" s="99" t="s">
        <v>109</v>
      </c>
      <c r="B63" s="11" t="s">
        <v>454</v>
      </c>
      <c r="C63" s="10" t="s">
        <v>112</v>
      </c>
      <c r="D63" s="11" t="s">
        <v>455</v>
      </c>
      <c r="E63" s="10" t="s">
        <v>112</v>
      </c>
      <c r="F63" s="11" t="s">
        <v>363</v>
      </c>
      <c r="G63" s="10" t="s">
        <v>112</v>
      </c>
      <c r="H63" s="11" t="s">
        <v>456</v>
      </c>
      <c r="I63" s="10" t="s">
        <v>112</v>
      </c>
      <c r="J63" s="7"/>
    </row>
    <row r="64" spans="1:10" ht="108" x14ac:dyDescent="0.25">
      <c r="A64" s="3" t="s">
        <v>457</v>
      </c>
      <c r="B64" s="9" t="s">
        <v>458</v>
      </c>
      <c r="C64" s="16"/>
      <c r="D64" s="9" t="s">
        <v>459</v>
      </c>
      <c r="E64" s="16"/>
      <c r="F64" s="9" t="s">
        <v>460</v>
      </c>
      <c r="G64" s="16"/>
      <c r="H64" s="9" t="s">
        <v>459</v>
      </c>
      <c r="I64" s="16"/>
      <c r="J64" s="7"/>
    </row>
    <row r="65" spans="1:10" ht="36" x14ac:dyDescent="0.25">
      <c r="A65" s="3" t="s">
        <v>114</v>
      </c>
      <c r="B65" s="9" t="s">
        <v>173</v>
      </c>
      <c r="C65" s="3" t="s">
        <v>218</v>
      </c>
      <c r="D65" s="9" t="s">
        <v>173</v>
      </c>
      <c r="E65" s="3" t="s">
        <v>218</v>
      </c>
      <c r="F65" s="9" t="s">
        <v>218</v>
      </c>
      <c r="G65" s="3" t="s">
        <v>218</v>
      </c>
      <c r="H65" s="9" t="s">
        <v>461</v>
      </c>
      <c r="I65" s="3" t="s">
        <v>218</v>
      </c>
      <c r="J65" s="7"/>
    </row>
    <row r="66" spans="1:10" ht="27" x14ac:dyDescent="0.25">
      <c r="A66" s="8" t="s">
        <v>117</v>
      </c>
      <c r="B66" s="8" t="s">
        <v>41</v>
      </c>
      <c r="C66" s="8" t="s">
        <v>42</v>
      </c>
      <c r="D66" s="8" t="s">
        <v>41</v>
      </c>
      <c r="E66" s="8" t="s">
        <v>42</v>
      </c>
      <c r="F66" s="8" t="s">
        <v>41</v>
      </c>
      <c r="G66" s="8" t="s">
        <v>42</v>
      </c>
      <c r="H66" s="8" t="s">
        <v>41</v>
      </c>
      <c r="I66" s="8" t="s">
        <v>42</v>
      </c>
      <c r="J66" s="7"/>
    </row>
    <row r="67" spans="1:10" ht="72" x14ac:dyDescent="0.25">
      <c r="A67" s="3" t="s">
        <v>118</v>
      </c>
      <c r="B67" s="9" t="s">
        <v>381</v>
      </c>
      <c r="C67" s="3" t="s">
        <v>382</v>
      </c>
      <c r="D67" s="9" t="s">
        <v>381</v>
      </c>
      <c r="E67" s="3" t="s">
        <v>382</v>
      </c>
      <c r="F67" s="9" t="s">
        <v>462</v>
      </c>
      <c r="G67" s="3" t="s">
        <v>382</v>
      </c>
      <c r="H67" s="9" t="s">
        <v>224</v>
      </c>
      <c r="I67" s="3" t="s">
        <v>382</v>
      </c>
      <c r="J67" s="7"/>
    </row>
    <row r="68" spans="1:10" ht="36" x14ac:dyDescent="0.25">
      <c r="A68" s="3" t="s">
        <v>122</v>
      </c>
      <c r="B68" s="9" t="s">
        <v>173</v>
      </c>
      <c r="C68" s="3" t="s">
        <v>218</v>
      </c>
      <c r="D68" s="9" t="s">
        <v>173</v>
      </c>
      <c r="E68" s="3" t="s">
        <v>218</v>
      </c>
      <c r="F68" s="9" t="s">
        <v>218</v>
      </c>
      <c r="G68" s="3" t="s">
        <v>218</v>
      </c>
      <c r="H68" s="9" t="s">
        <v>84</v>
      </c>
      <c r="I68" s="3" t="s">
        <v>218</v>
      </c>
      <c r="J68" s="7"/>
    </row>
    <row r="69" spans="1:10" ht="81" x14ac:dyDescent="0.25">
      <c r="A69" s="3" t="s">
        <v>123</v>
      </c>
      <c r="B69" s="9" t="s">
        <v>385</v>
      </c>
      <c r="C69" s="3" t="s">
        <v>386</v>
      </c>
      <c r="D69" s="9" t="s">
        <v>463</v>
      </c>
      <c r="E69" s="3" t="s">
        <v>464</v>
      </c>
      <c r="F69" s="9" t="s">
        <v>464</v>
      </c>
      <c r="G69" s="3" t="s">
        <v>464</v>
      </c>
      <c r="H69" s="9" t="s">
        <v>465</v>
      </c>
      <c r="I69" s="3" t="s">
        <v>386</v>
      </c>
      <c r="J69" s="7"/>
    </row>
    <row r="70" spans="1:10" ht="36" x14ac:dyDescent="0.25">
      <c r="A70" s="3" t="s">
        <v>128</v>
      </c>
      <c r="B70" s="9" t="s">
        <v>173</v>
      </c>
      <c r="C70" s="3" t="s">
        <v>218</v>
      </c>
      <c r="D70" s="9" t="s">
        <v>173</v>
      </c>
      <c r="E70" s="3" t="s">
        <v>218</v>
      </c>
      <c r="F70" s="9" t="s">
        <v>218</v>
      </c>
      <c r="G70" s="3" t="s">
        <v>218</v>
      </c>
      <c r="H70" s="9" t="s">
        <v>84</v>
      </c>
      <c r="I70" s="3" t="s">
        <v>218</v>
      </c>
      <c r="J70" s="7"/>
    </row>
    <row r="71" spans="1:10" ht="36" x14ac:dyDescent="0.25">
      <c r="A71" s="3" t="s">
        <v>129</v>
      </c>
      <c r="B71" s="9" t="s">
        <v>173</v>
      </c>
      <c r="C71" s="3" t="s">
        <v>218</v>
      </c>
      <c r="D71" s="9" t="s">
        <v>173</v>
      </c>
      <c r="E71" s="3" t="s">
        <v>218</v>
      </c>
      <c r="F71" s="9" t="s">
        <v>218</v>
      </c>
      <c r="G71" s="3" t="s">
        <v>218</v>
      </c>
      <c r="H71" s="9" t="s">
        <v>84</v>
      </c>
      <c r="I71" s="3" t="s">
        <v>218</v>
      </c>
      <c r="J71" s="7"/>
    </row>
    <row r="72" spans="1:10" ht="18" x14ac:dyDescent="0.25">
      <c r="A72" s="8" t="s">
        <v>130</v>
      </c>
      <c r="B72" s="8" t="s">
        <v>41</v>
      </c>
      <c r="C72" s="8" t="s">
        <v>42</v>
      </c>
      <c r="D72" s="8" t="s">
        <v>41</v>
      </c>
      <c r="E72" s="8" t="s">
        <v>42</v>
      </c>
      <c r="F72" s="8" t="s">
        <v>41</v>
      </c>
      <c r="G72" s="8" t="s">
        <v>42</v>
      </c>
      <c r="H72" s="8" t="s">
        <v>41</v>
      </c>
      <c r="I72" s="8" t="s">
        <v>42</v>
      </c>
      <c r="J72" s="7"/>
    </row>
    <row r="73" spans="1:10" ht="36" x14ac:dyDescent="0.25">
      <c r="A73" s="96" t="s">
        <v>131</v>
      </c>
      <c r="B73" s="9" t="s">
        <v>173</v>
      </c>
      <c r="C73" s="3" t="s">
        <v>173</v>
      </c>
      <c r="D73" s="9" t="s">
        <v>173</v>
      </c>
      <c r="E73" s="3" t="s">
        <v>173</v>
      </c>
      <c r="F73" s="9" t="s">
        <v>218</v>
      </c>
      <c r="G73" s="3" t="s">
        <v>218</v>
      </c>
      <c r="H73" s="9" t="s">
        <v>466</v>
      </c>
      <c r="I73" s="3" t="s">
        <v>466</v>
      </c>
      <c r="J73" s="7"/>
    </row>
    <row r="74" spans="1:10" ht="36" x14ac:dyDescent="0.25">
      <c r="A74" s="96" t="s">
        <v>134</v>
      </c>
      <c r="B74" s="9" t="s">
        <v>173</v>
      </c>
      <c r="C74" s="3" t="s">
        <v>218</v>
      </c>
      <c r="D74" s="9" t="s">
        <v>173</v>
      </c>
      <c r="E74" s="3" t="s">
        <v>218</v>
      </c>
      <c r="F74" s="9" t="s">
        <v>218</v>
      </c>
      <c r="G74" s="3" t="s">
        <v>218</v>
      </c>
      <c r="H74" s="9" t="s">
        <v>227</v>
      </c>
      <c r="I74" s="3" t="s">
        <v>218</v>
      </c>
      <c r="J74" s="7"/>
    </row>
    <row r="75" spans="1:10" ht="36" x14ac:dyDescent="0.25">
      <c r="A75" s="96" t="s">
        <v>135</v>
      </c>
      <c r="B75" s="9" t="s">
        <v>173</v>
      </c>
      <c r="C75" s="3" t="s">
        <v>173</v>
      </c>
      <c r="D75" s="9" t="s">
        <v>173</v>
      </c>
      <c r="E75" s="3" t="s">
        <v>173</v>
      </c>
      <c r="F75" s="9" t="s">
        <v>218</v>
      </c>
      <c r="G75" s="3" t="s">
        <v>218</v>
      </c>
      <c r="H75" s="9" t="s">
        <v>466</v>
      </c>
      <c r="I75" s="3" t="s">
        <v>466</v>
      </c>
      <c r="J75" s="7"/>
    </row>
    <row r="76" spans="1:10" ht="27" x14ac:dyDescent="0.25">
      <c r="A76" s="8" t="s">
        <v>136</v>
      </c>
      <c r="B76" s="8" t="s">
        <v>41</v>
      </c>
      <c r="C76" s="8" t="s">
        <v>42</v>
      </c>
      <c r="D76" s="8" t="s">
        <v>41</v>
      </c>
      <c r="E76" s="8" t="s">
        <v>42</v>
      </c>
      <c r="F76" s="8" t="s">
        <v>41</v>
      </c>
      <c r="G76" s="8" t="s">
        <v>42</v>
      </c>
      <c r="H76" s="8" t="s">
        <v>41</v>
      </c>
      <c r="I76" s="8" t="s">
        <v>42</v>
      </c>
      <c r="J76" s="7"/>
    </row>
    <row r="77" spans="1:10" ht="36" x14ac:dyDescent="0.25">
      <c r="A77" s="3" t="s">
        <v>85</v>
      </c>
      <c r="B77" s="9" t="s">
        <v>173</v>
      </c>
      <c r="C77" s="3" t="s">
        <v>218</v>
      </c>
      <c r="D77" s="9" t="s">
        <v>173</v>
      </c>
      <c r="E77" s="3" t="s">
        <v>218</v>
      </c>
      <c r="F77" s="9" t="s">
        <v>218</v>
      </c>
      <c r="G77" s="3" t="s">
        <v>218</v>
      </c>
      <c r="H77" s="9" t="s">
        <v>467</v>
      </c>
      <c r="I77" s="3" t="s">
        <v>218</v>
      </c>
      <c r="J77" s="7"/>
    </row>
    <row r="78" spans="1:10" ht="18" x14ac:dyDescent="0.25">
      <c r="A78" s="10" t="s">
        <v>86</v>
      </c>
      <c r="B78" s="11" t="s">
        <v>468</v>
      </c>
      <c r="C78" s="10" t="s">
        <v>363</v>
      </c>
      <c r="D78" s="11" t="s">
        <v>468</v>
      </c>
      <c r="E78" s="10" t="s">
        <v>363</v>
      </c>
      <c r="F78" s="11" t="s">
        <v>363</v>
      </c>
      <c r="G78" s="10" t="s">
        <v>363</v>
      </c>
      <c r="H78" s="11" t="s">
        <v>469</v>
      </c>
      <c r="I78" s="10" t="s">
        <v>363</v>
      </c>
      <c r="J78" s="7"/>
    </row>
    <row r="79" spans="1:10" ht="18" x14ac:dyDescent="0.25">
      <c r="A79" s="3" t="s">
        <v>91</v>
      </c>
      <c r="B79" s="9" t="s">
        <v>222</v>
      </c>
      <c r="C79" s="3" t="s">
        <v>222</v>
      </c>
      <c r="D79" s="9" t="s">
        <v>222</v>
      </c>
      <c r="E79" s="3" t="s">
        <v>222</v>
      </c>
      <c r="F79" s="9" t="s">
        <v>222</v>
      </c>
      <c r="G79" s="3" t="s">
        <v>222</v>
      </c>
      <c r="H79" s="9" t="s">
        <v>222</v>
      </c>
      <c r="I79" s="3" t="s">
        <v>222</v>
      </c>
      <c r="J79" s="7"/>
    </row>
    <row r="80" spans="1:10" ht="36" x14ac:dyDescent="0.25">
      <c r="A80" s="96" t="s">
        <v>94</v>
      </c>
      <c r="B80" s="9" t="s">
        <v>173</v>
      </c>
      <c r="C80" s="3" t="s">
        <v>218</v>
      </c>
      <c r="D80" s="9" t="s">
        <v>173</v>
      </c>
      <c r="E80" s="3" t="s">
        <v>218</v>
      </c>
      <c r="F80" s="9" t="s">
        <v>218</v>
      </c>
      <c r="G80" s="3" t="s">
        <v>218</v>
      </c>
      <c r="H80" s="9" t="s">
        <v>137</v>
      </c>
      <c r="I80" s="3" t="s">
        <v>218</v>
      </c>
      <c r="J80" s="7"/>
    </row>
    <row r="81" spans="1:10" ht="36" x14ac:dyDescent="0.25">
      <c r="A81" s="96" t="s">
        <v>141</v>
      </c>
      <c r="B81" s="9" t="s">
        <v>173</v>
      </c>
      <c r="C81" s="3" t="s">
        <v>218</v>
      </c>
      <c r="D81" s="9" t="s">
        <v>173</v>
      </c>
      <c r="E81" s="3" t="s">
        <v>218</v>
      </c>
      <c r="F81" s="9" t="s">
        <v>218</v>
      </c>
      <c r="G81" s="3" t="s">
        <v>218</v>
      </c>
      <c r="H81" s="9" t="s">
        <v>470</v>
      </c>
      <c r="I81" s="3" t="s">
        <v>218</v>
      </c>
      <c r="J81" s="7"/>
    </row>
    <row r="82" spans="1:10" ht="36" x14ac:dyDescent="0.25">
      <c r="A82" s="96" t="s">
        <v>98</v>
      </c>
      <c r="B82" s="9" t="s">
        <v>173</v>
      </c>
      <c r="C82" s="3" t="s">
        <v>218</v>
      </c>
      <c r="D82" s="9" t="s">
        <v>173</v>
      </c>
      <c r="E82" s="3" t="s">
        <v>218</v>
      </c>
      <c r="F82" s="9" t="s">
        <v>218</v>
      </c>
      <c r="G82" s="3" t="s">
        <v>218</v>
      </c>
      <c r="H82" s="9" t="s">
        <v>137</v>
      </c>
      <c r="I82" s="3" t="s">
        <v>218</v>
      </c>
      <c r="J82" s="7"/>
    </row>
    <row r="83" spans="1:10" ht="36" x14ac:dyDescent="0.25">
      <c r="A83" s="96" t="s">
        <v>143</v>
      </c>
      <c r="B83" s="9" t="s">
        <v>173</v>
      </c>
      <c r="C83" s="3" t="s">
        <v>218</v>
      </c>
      <c r="D83" s="9" t="s">
        <v>173</v>
      </c>
      <c r="E83" s="3" t="s">
        <v>218</v>
      </c>
      <c r="F83" s="9" t="s">
        <v>218</v>
      </c>
      <c r="G83" s="3" t="s">
        <v>218</v>
      </c>
      <c r="H83" s="9" t="s">
        <v>467</v>
      </c>
      <c r="I83" s="3" t="s">
        <v>218</v>
      </c>
      <c r="J83" s="7"/>
    </row>
    <row r="84" spans="1:10" ht="36" x14ac:dyDescent="0.25">
      <c r="A84" s="8" t="s">
        <v>144</v>
      </c>
      <c r="B84" s="8" t="s">
        <v>41</v>
      </c>
      <c r="C84" s="8" t="s">
        <v>42</v>
      </c>
      <c r="D84" s="8" t="s">
        <v>41</v>
      </c>
      <c r="E84" s="8" t="s">
        <v>42</v>
      </c>
      <c r="F84" s="8" t="s">
        <v>41</v>
      </c>
      <c r="G84" s="8" t="s">
        <v>42</v>
      </c>
      <c r="H84" s="8" t="s">
        <v>41</v>
      </c>
      <c r="I84" s="8" t="s">
        <v>42</v>
      </c>
      <c r="J84" s="7"/>
    </row>
    <row r="85" spans="1:10" ht="72" x14ac:dyDescent="0.25">
      <c r="A85" s="96" t="s">
        <v>145</v>
      </c>
      <c r="B85" s="9" t="s">
        <v>381</v>
      </c>
      <c r="C85" s="3" t="s">
        <v>382</v>
      </c>
      <c r="D85" s="9" t="s">
        <v>471</v>
      </c>
      <c r="E85" s="3" t="s">
        <v>382</v>
      </c>
      <c r="F85" s="9" t="s">
        <v>382</v>
      </c>
      <c r="G85" s="3" t="s">
        <v>382</v>
      </c>
      <c r="H85" s="9" t="s">
        <v>224</v>
      </c>
      <c r="I85" s="3" t="s">
        <v>382</v>
      </c>
      <c r="J85" s="7"/>
    </row>
    <row r="86" spans="1:10" ht="36" x14ac:dyDescent="0.25">
      <c r="A86" s="96" t="s">
        <v>147</v>
      </c>
      <c r="B86" s="9" t="s">
        <v>173</v>
      </c>
      <c r="C86" s="3" t="s">
        <v>218</v>
      </c>
      <c r="D86" s="9" t="s">
        <v>173</v>
      </c>
      <c r="E86" s="3" t="s">
        <v>218</v>
      </c>
      <c r="F86" s="9" t="s">
        <v>218</v>
      </c>
      <c r="G86" s="3" t="s">
        <v>218</v>
      </c>
      <c r="H86" s="9" t="s">
        <v>137</v>
      </c>
      <c r="I86" s="3" t="s">
        <v>218</v>
      </c>
      <c r="J86" s="7"/>
    </row>
    <row r="87" spans="1:10" ht="72" x14ac:dyDescent="0.25">
      <c r="A87" s="96" t="s">
        <v>149</v>
      </c>
      <c r="B87" s="9" t="s">
        <v>381</v>
      </c>
      <c r="C87" s="3" t="s">
        <v>382</v>
      </c>
      <c r="D87" s="9" t="s">
        <v>471</v>
      </c>
      <c r="E87" s="3" t="s">
        <v>382</v>
      </c>
      <c r="F87" s="9" t="s">
        <v>382</v>
      </c>
      <c r="G87" s="3" t="s">
        <v>382</v>
      </c>
      <c r="H87" s="9" t="s">
        <v>224</v>
      </c>
      <c r="I87" s="3" t="s">
        <v>382</v>
      </c>
      <c r="J87" s="7"/>
    </row>
    <row r="88" spans="1:10" ht="36" x14ac:dyDescent="0.25">
      <c r="A88" s="96" t="s">
        <v>150</v>
      </c>
      <c r="B88" s="9" t="s">
        <v>173</v>
      </c>
      <c r="C88" s="3" t="s">
        <v>218</v>
      </c>
      <c r="D88" s="9" t="s">
        <v>173</v>
      </c>
      <c r="E88" s="3" t="s">
        <v>218</v>
      </c>
      <c r="F88" s="9" t="s">
        <v>218</v>
      </c>
      <c r="G88" s="3" t="s">
        <v>218</v>
      </c>
      <c r="H88" s="9" t="s">
        <v>137</v>
      </c>
      <c r="I88" s="3" t="s">
        <v>218</v>
      </c>
      <c r="J88" s="7"/>
    </row>
    <row r="89" spans="1:10" ht="18" x14ac:dyDescent="0.25">
      <c r="A89" s="8" t="s">
        <v>151</v>
      </c>
      <c r="B89" s="8" t="s">
        <v>41</v>
      </c>
      <c r="C89" s="8" t="s">
        <v>42</v>
      </c>
      <c r="D89" s="8" t="s">
        <v>41</v>
      </c>
      <c r="E89" s="8" t="s">
        <v>42</v>
      </c>
      <c r="F89" s="8" t="s">
        <v>41</v>
      </c>
      <c r="G89" s="8" t="s">
        <v>42</v>
      </c>
      <c r="H89" s="8" t="s">
        <v>41</v>
      </c>
      <c r="I89" s="8" t="s">
        <v>42</v>
      </c>
      <c r="J89" s="7"/>
    </row>
    <row r="90" spans="1:10" ht="72" x14ac:dyDescent="0.25">
      <c r="A90" s="3" t="s">
        <v>152</v>
      </c>
      <c r="B90" s="9" t="s">
        <v>394</v>
      </c>
      <c r="C90" s="3" t="s">
        <v>395</v>
      </c>
      <c r="D90" s="9" t="s">
        <v>394</v>
      </c>
      <c r="E90" s="3" t="s">
        <v>472</v>
      </c>
      <c r="F90" s="9" t="s">
        <v>472</v>
      </c>
      <c r="G90" s="3" t="s">
        <v>472</v>
      </c>
      <c r="H90" s="9" t="s">
        <v>229</v>
      </c>
      <c r="I90" s="3" t="s">
        <v>395</v>
      </c>
      <c r="J90" s="7"/>
    </row>
    <row r="91" spans="1:10" ht="54" x14ac:dyDescent="0.25">
      <c r="A91" s="3" t="s">
        <v>157</v>
      </c>
      <c r="B91" s="9" t="s">
        <v>398</v>
      </c>
      <c r="C91" s="3" t="s">
        <v>399</v>
      </c>
      <c r="D91" s="9" t="s">
        <v>398</v>
      </c>
      <c r="E91" s="3" t="s">
        <v>473</v>
      </c>
      <c r="F91" s="9" t="s">
        <v>473</v>
      </c>
      <c r="G91" s="3" t="s">
        <v>473</v>
      </c>
      <c r="H91" s="9" t="s">
        <v>474</v>
      </c>
      <c r="I91" s="3" t="s">
        <v>399</v>
      </c>
      <c r="J91" s="7"/>
    </row>
    <row r="92" spans="1:10" ht="72" x14ac:dyDescent="0.25">
      <c r="A92" s="3" t="s">
        <v>162</v>
      </c>
      <c r="B92" s="9" t="s">
        <v>402</v>
      </c>
      <c r="C92" s="3" t="s">
        <v>403</v>
      </c>
      <c r="D92" s="9" t="s">
        <v>402</v>
      </c>
      <c r="E92" s="3" t="s">
        <v>475</v>
      </c>
      <c r="F92" s="9" t="s">
        <v>475</v>
      </c>
      <c r="G92" s="3" t="s">
        <v>475</v>
      </c>
      <c r="H92" s="9" t="s">
        <v>230</v>
      </c>
      <c r="I92" s="3" t="s">
        <v>403</v>
      </c>
      <c r="J92" s="7"/>
    </row>
    <row r="93" spans="1:10" ht="18" x14ac:dyDescent="0.25">
      <c r="A93" s="99" t="s">
        <v>167</v>
      </c>
      <c r="B93" s="11" t="s">
        <v>468</v>
      </c>
      <c r="C93" s="10" t="s">
        <v>363</v>
      </c>
      <c r="D93" s="11" t="s">
        <v>468</v>
      </c>
      <c r="E93" s="10" t="s">
        <v>363</v>
      </c>
      <c r="F93" s="11" t="s">
        <v>363</v>
      </c>
      <c r="G93" s="10" t="s">
        <v>363</v>
      </c>
      <c r="H93" s="11" t="s">
        <v>476</v>
      </c>
      <c r="I93" s="10" t="s">
        <v>363</v>
      </c>
      <c r="J93" s="7"/>
    </row>
    <row r="94" spans="1:10" ht="81" x14ac:dyDescent="0.25">
      <c r="A94" s="155"/>
      <c r="B94" s="9" t="s">
        <v>477</v>
      </c>
      <c r="C94" s="3" t="s">
        <v>477</v>
      </c>
      <c r="D94" s="9" t="s">
        <v>477</v>
      </c>
      <c r="E94" s="3" t="s">
        <v>477</v>
      </c>
      <c r="F94" s="9" t="s">
        <v>477</v>
      </c>
      <c r="G94" s="3" t="s">
        <v>477</v>
      </c>
      <c r="H94" s="9" t="s">
        <v>478</v>
      </c>
      <c r="I94" s="3" t="s">
        <v>477</v>
      </c>
      <c r="J94" s="7"/>
    </row>
    <row r="95" spans="1:10" ht="36" x14ac:dyDescent="0.25">
      <c r="A95" s="96" t="s">
        <v>172</v>
      </c>
      <c r="B95" s="9" t="s">
        <v>173</v>
      </c>
      <c r="C95" s="3" t="s">
        <v>218</v>
      </c>
      <c r="D95" s="9" t="s">
        <v>173</v>
      </c>
      <c r="E95" s="3" t="s">
        <v>173</v>
      </c>
      <c r="F95" s="9" t="s">
        <v>218</v>
      </c>
      <c r="G95" s="3" t="s">
        <v>218</v>
      </c>
      <c r="H95" s="9" t="s">
        <v>173</v>
      </c>
      <c r="I95" s="3" t="s">
        <v>173</v>
      </c>
      <c r="J95" s="7"/>
    </row>
    <row r="96" spans="1:10" ht="36" x14ac:dyDescent="0.25">
      <c r="A96" s="3" t="s">
        <v>174</v>
      </c>
      <c r="B96" s="9" t="s">
        <v>173</v>
      </c>
      <c r="C96" s="3" t="s">
        <v>218</v>
      </c>
      <c r="D96" s="9" t="s">
        <v>173</v>
      </c>
      <c r="E96" s="3" t="s">
        <v>173</v>
      </c>
      <c r="F96" s="9" t="s">
        <v>218</v>
      </c>
      <c r="G96" s="3" t="s">
        <v>218</v>
      </c>
      <c r="H96" s="9" t="s">
        <v>173</v>
      </c>
      <c r="I96" s="3" t="s">
        <v>173</v>
      </c>
      <c r="J96" s="7"/>
    </row>
    <row r="97" spans="1:10" ht="36" x14ac:dyDescent="0.25">
      <c r="A97" s="3" t="s">
        <v>175</v>
      </c>
      <c r="B97" s="9" t="s">
        <v>173</v>
      </c>
      <c r="C97" s="3" t="s">
        <v>218</v>
      </c>
      <c r="D97" s="9" t="s">
        <v>173</v>
      </c>
      <c r="E97" s="3" t="s">
        <v>218</v>
      </c>
      <c r="F97" s="9" t="s">
        <v>218</v>
      </c>
      <c r="G97" s="3" t="s">
        <v>218</v>
      </c>
      <c r="H97" s="9" t="s">
        <v>49</v>
      </c>
      <c r="I97" s="3" t="s">
        <v>218</v>
      </c>
      <c r="J97" s="7"/>
    </row>
    <row r="98" spans="1:10" ht="36" x14ac:dyDescent="0.25">
      <c r="A98" s="3" t="s">
        <v>176</v>
      </c>
      <c r="B98" s="9" t="s">
        <v>112</v>
      </c>
      <c r="C98" s="3" t="s">
        <v>112</v>
      </c>
      <c r="D98" s="9" t="s">
        <v>173</v>
      </c>
      <c r="E98" s="3" t="s">
        <v>218</v>
      </c>
      <c r="F98" s="9" t="s">
        <v>218</v>
      </c>
      <c r="G98" s="3" t="s">
        <v>218</v>
      </c>
      <c r="H98" s="9" t="s">
        <v>227</v>
      </c>
      <c r="I98" s="3" t="s">
        <v>218</v>
      </c>
      <c r="J98" s="7"/>
    </row>
    <row r="99" spans="1:10" ht="72" x14ac:dyDescent="0.25">
      <c r="A99" s="3" t="s">
        <v>177</v>
      </c>
      <c r="B99" s="9" t="s">
        <v>179</v>
      </c>
      <c r="C99" s="3" t="s">
        <v>415</v>
      </c>
      <c r="D99" s="9" t="s">
        <v>178</v>
      </c>
      <c r="E99" s="3" t="s">
        <v>179</v>
      </c>
      <c r="F99" s="9" t="s">
        <v>479</v>
      </c>
      <c r="G99" s="3" t="s">
        <v>415</v>
      </c>
      <c r="H99" s="9" t="s">
        <v>178</v>
      </c>
      <c r="I99" s="3" t="s">
        <v>179</v>
      </c>
      <c r="J99" s="7"/>
    </row>
    <row r="100" spans="1:10" ht="18" x14ac:dyDescent="0.25">
      <c r="A100" s="8" t="s">
        <v>180</v>
      </c>
      <c r="B100" s="8" t="s">
        <v>41</v>
      </c>
      <c r="C100" s="8" t="s">
        <v>42</v>
      </c>
      <c r="D100" s="8" t="s">
        <v>41</v>
      </c>
      <c r="E100" s="8" t="s">
        <v>42</v>
      </c>
      <c r="F100" s="8" t="s">
        <v>41</v>
      </c>
      <c r="G100" s="8" t="s">
        <v>42</v>
      </c>
      <c r="H100" s="8" t="s">
        <v>41</v>
      </c>
      <c r="I100" s="8" t="s">
        <v>42</v>
      </c>
      <c r="J100" s="7"/>
    </row>
    <row r="101" spans="1:10" ht="54" x14ac:dyDescent="0.25">
      <c r="A101" s="96" t="s">
        <v>181</v>
      </c>
      <c r="B101" s="9" t="s">
        <v>112</v>
      </c>
      <c r="C101" s="3" t="s">
        <v>112</v>
      </c>
      <c r="D101" s="9" t="s">
        <v>184</v>
      </c>
      <c r="E101" s="3" t="s">
        <v>419</v>
      </c>
      <c r="F101" s="9" t="s">
        <v>184</v>
      </c>
      <c r="G101" s="3" t="s">
        <v>419</v>
      </c>
      <c r="H101" s="9" t="s">
        <v>184</v>
      </c>
      <c r="I101" s="3" t="s">
        <v>419</v>
      </c>
      <c r="J101" s="7"/>
    </row>
    <row r="102" spans="1:10" ht="36" x14ac:dyDescent="0.25">
      <c r="A102" s="3" t="s">
        <v>185</v>
      </c>
      <c r="B102" s="9" t="s">
        <v>173</v>
      </c>
      <c r="C102" s="3" t="s">
        <v>218</v>
      </c>
      <c r="D102" s="9" t="s">
        <v>173</v>
      </c>
      <c r="E102" s="3" t="s">
        <v>218</v>
      </c>
      <c r="F102" s="9" t="s">
        <v>218</v>
      </c>
      <c r="G102" s="3" t="s">
        <v>218</v>
      </c>
      <c r="H102" s="9" t="s">
        <v>227</v>
      </c>
      <c r="I102" s="3" t="s">
        <v>218</v>
      </c>
      <c r="J102" s="7"/>
    </row>
    <row r="103" spans="1:10" ht="27" x14ac:dyDescent="0.25">
      <c r="A103" s="97" t="s">
        <v>186</v>
      </c>
      <c r="B103" s="106" t="s">
        <v>112</v>
      </c>
      <c r="C103" s="108" t="s">
        <v>112</v>
      </c>
      <c r="D103" s="11" t="s">
        <v>187</v>
      </c>
      <c r="E103" s="10" t="s">
        <v>187</v>
      </c>
      <c r="F103" s="11" t="s">
        <v>187</v>
      </c>
      <c r="G103" s="10" t="s">
        <v>187</v>
      </c>
      <c r="H103" s="11" t="s">
        <v>187</v>
      </c>
      <c r="I103" s="10" t="s">
        <v>187</v>
      </c>
      <c r="J103" s="110"/>
    </row>
    <row r="104" spans="1:10" x14ac:dyDescent="0.25">
      <c r="A104" s="104"/>
      <c r="B104" s="107"/>
      <c r="C104" s="109"/>
      <c r="D104" s="12" t="s">
        <v>188</v>
      </c>
      <c r="E104" s="15" t="s">
        <v>188</v>
      </c>
      <c r="F104" s="12" t="s">
        <v>188</v>
      </c>
      <c r="G104" s="15" t="s">
        <v>188</v>
      </c>
      <c r="H104" s="12" t="s">
        <v>188</v>
      </c>
      <c r="I104" s="15" t="s">
        <v>188</v>
      </c>
      <c r="J104" s="110"/>
    </row>
    <row r="105" spans="1:10" ht="63" x14ac:dyDescent="0.25">
      <c r="A105" s="3" t="s">
        <v>189</v>
      </c>
      <c r="B105" s="9" t="s">
        <v>418</v>
      </c>
      <c r="C105" s="3" t="s">
        <v>419</v>
      </c>
      <c r="D105" s="9" t="s">
        <v>418</v>
      </c>
      <c r="E105" s="3" t="s">
        <v>419</v>
      </c>
      <c r="F105" s="9" t="s">
        <v>419</v>
      </c>
      <c r="G105" s="3" t="s">
        <v>419</v>
      </c>
      <c r="H105" s="9" t="s">
        <v>480</v>
      </c>
      <c r="I105" s="3" t="s">
        <v>419</v>
      </c>
      <c r="J105" s="7"/>
    </row>
    <row r="106" spans="1:10" ht="54" x14ac:dyDescent="0.25">
      <c r="A106" s="3" t="s">
        <v>192</v>
      </c>
      <c r="B106" s="9" t="s">
        <v>193</v>
      </c>
      <c r="C106" s="3" t="s">
        <v>423</v>
      </c>
      <c r="D106" s="9" t="s">
        <v>193</v>
      </c>
      <c r="E106" s="3" t="s">
        <v>193</v>
      </c>
      <c r="F106" s="9" t="s">
        <v>423</v>
      </c>
      <c r="G106" s="3" t="s">
        <v>423</v>
      </c>
      <c r="H106" s="9" t="s">
        <v>193</v>
      </c>
      <c r="I106" s="3" t="s">
        <v>193</v>
      </c>
      <c r="J106" s="7"/>
    </row>
    <row r="107" spans="1:10" ht="18" x14ac:dyDescent="0.25">
      <c r="A107" s="8" t="s">
        <v>194</v>
      </c>
      <c r="B107" s="8" t="s">
        <v>41</v>
      </c>
      <c r="C107" s="8" t="s">
        <v>42</v>
      </c>
      <c r="D107" s="8" t="s">
        <v>41</v>
      </c>
      <c r="E107" s="8" t="s">
        <v>42</v>
      </c>
      <c r="F107" s="8" t="s">
        <v>41</v>
      </c>
      <c r="G107" s="8" t="s">
        <v>42</v>
      </c>
      <c r="H107" s="8" t="s">
        <v>41</v>
      </c>
      <c r="I107" s="8" t="s">
        <v>42</v>
      </c>
      <c r="J107" s="7"/>
    </row>
    <row r="108" spans="1:10" ht="18" x14ac:dyDescent="0.25">
      <c r="A108" s="3" t="s">
        <v>195</v>
      </c>
      <c r="B108" s="9" t="s">
        <v>112</v>
      </c>
      <c r="C108" s="3" t="s">
        <v>112</v>
      </c>
      <c r="D108" s="9" t="s">
        <v>112</v>
      </c>
      <c r="E108" s="3" t="s">
        <v>112</v>
      </c>
      <c r="F108" s="9" t="s">
        <v>112</v>
      </c>
      <c r="G108" s="3" t="s">
        <v>112</v>
      </c>
      <c r="H108" s="9" t="s">
        <v>112</v>
      </c>
      <c r="I108" s="3" t="s">
        <v>112</v>
      </c>
      <c r="J108" s="7"/>
    </row>
    <row r="109" spans="1:10" ht="45" x14ac:dyDescent="0.25">
      <c r="A109" s="99" t="s">
        <v>196</v>
      </c>
      <c r="B109" s="11" t="s">
        <v>173</v>
      </c>
      <c r="C109" s="10" t="s">
        <v>481</v>
      </c>
      <c r="D109" s="11" t="s">
        <v>482</v>
      </c>
      <c r="E109" s="10" t="s">
        <v>482</v>
      </c>
      <c r="F109" s="11" t="s">
        <v>482</v>
      </c>
      <c r="G109" s="10" t="s">
        <v>482</v>
      </c>
      <c r="H109" s="11" t="s">
        <v>482</v>
      </c>
      <c r="I109" s="10" t="s">
        <v>482</v>
      </c>
      <c r="J109" s="7"/>
    </row>
    <row r="110" spans="1:10" ht="126" x14ac:dyDescent="0.25">
      <c r="A110" s="16"/>
      <c r="B110" s="22"/>
      <c r="C110" s="3" t="s">
        <v>483</v>
      </c>
      <c r="D110" s="9" t="s">
        <v>484</v>
      </c>
      <c r="E110" s="3" t="s">
        <v>485</v>
      </c>
      <c r="F110" s="9" t="s">
        <v>486</v>
      </c>
      <c r="G110" s="3" t="s">
        <v>487</v>
      </c>
      <c r="H110" s="9" t="s">
        <v>484</v>
      </c>
      <c r="I110" s="3" t="s">
        <v>485</v>
      </c>
      <c r="J110" s="4"/>
    </row>
    <row r="111" spans="1:10" ht="54" x14ac:dyDescent="0.25">
      <c r="A111" s="3" t="s">
        <v>202</v>
      </c>
      <c r="B111" s="9" t="s">
        <v>173</v>
      </c>
      <c r="C111" s="3" t="s">
        <v>431</v>
      </c>
      <c r="D111" s="9" t="s">
        <v>173</v>
      </c>
      <c r="E111" s="3" t="s">
        <v>203</v>
      </c>
      <c r="F111" s="9" t="s">
        <v>218</v>
      </c>
      <c r="G111" s="3" t="s">
        <v>431</v>
      </c>
      <c r="H111" s="9" t="s">
        <v>173</v>
      </c>
      <c r="I111" s="3" t="s">
        <v>203</v>
      </c>
      <c r="J111" s="4"/>
    </row>
    <row r="112" spans="1:10" ht="117" x14ac:dyDescent="0.25">
      <c r="A112" s="3" t="s">
        <v>204</v>
      </c>
      <c r="B112" s="9" t="s">
        <v>434</v>
      </c>
      <c r="C112" s="3" t="s">
        <v>435</v>
      </c>
      <c r="D112" s="9" t="s">
        <v>434</v>
      </c>
      <c r="E112" s="3" t="s">
        <v>435</v>
      </c>
      <c r="F112" s="9" t="s">
        <v>435</v>
      </c>
      <c r="G112" s="3" t="s">
        <v>435</v>
      </c>
      <c r="H112" s="9" t="s">
        <v>488</v>
      </c>
      <c r="I112" s="3" t="s">
        <v>435</v>
      </c>
      <c r="J1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/>
  </sheetViews>
  <sheetFormatPr defaultRowHeight="15" x14ac:dyDescent="0.25"/>
  <cols>
    <col min="1" max="1" width="30" customWidth="1"/>
    <col min="2" max="2" width="17.28515625" customWidth="1"/>
    <col min="3" max="3" width="14.42578125" customWidth="1"/>
    <col min="4" max="4" width="22.85546875" customWidth="1"/>
    <col min="5" max="5" width="22.5703125" customWidth="1"/>
  </cols>
  <sheetData>
    <row r="1" spans="1:6" ht="18" customHeight="1" x14ac:dyDescent="0.25">
      <c r="A1" s="1"/>
      <c r="B1" s="124" t="s">
        <v>332</v>
      </c>
      <c r="C1" s="125"/>
      <c r="D1" s="124" t="s">
        <v>489</v>
      </c>
      <c r="E1" s="126"/>
      <c r="F1" s="2"/>
    </row>
    <row r="2" spans="1:6" x14ac:dyDescent="0.25">
      <c r="A2" s="127" t="s">
        <v>22</v>
      </c>
      <c r="B2" s="122">
        <v>815.8</v>
      </c>
      <c r="C2" s="122"/>
      <c r="D2" s="133">
        <v>795.26</v>
      </c>
      <c r="E2" s="133"/>
      <c r="F2" s="2"/>
    </row>
    <row r="3" spans="1:6" ht="14.25" customHeight="1" x14ac:dyDescent="0.25">
      <c r="A3" s="96" t="s">
        <v>23</v>
      </c>
      <c r="B3" s="118">
        <v>1631.59</v>
      </c>
      <c r="C3" s="119"/>
      <c r="D3" s="120">
        <v>1590.52</v>
      </c>
      <c r="E3" s="133"/>
      <c r="F3" s="2"/>
    </row>
    <row r="4" spans="1:6" ht="18" customHeight="1" x14ac:dyDescent="0.25">
      <c r="A4" s="96" t="s">
        <v>24</v>
      </c>
      <c r="B4" s="118">
        <v>1386.86</v>
      </c>
      <c r="C4" s="119"/>
      <c r="D4" s="120">
        <v>1351.94</v>
      </c>
      <c r="E4" s="133"/>
      <c r="F4" s="2"/>
    </row>
    <row r="5" spans="1:6" x14ac:dyDescent="0.25">
      <c r="A5" s="96" t="s">
        <v>25</v>
      </c>
      <c r="B5" s="118">
        <v>2325.02</v>
      </c>
      <c r="C5" s="119"/>
      <c r="D5" s="120">
        <v>2266.4899999999998</v>
      </c>
      <c r="E5" s="133"/>
      <c r="F5" s="2"/>
    </row>
    <row r="6" spans="1:6" ht="36" customHeight="1" x14ac:dyDescent="0.25">
      <c r="A6" s="96" t="s">
        <v>43</v>
      </c>
      <c r="B6" s="81" t="s">
        <v>343</v>
      </c>
      <c r="C6" s="82" t="s">
        <v>45</v>
      </c>
      <c r="D6" s="81" t="s">
        <v>305</v>
      </c>
      <c r="E6" s="89" t="s">
        <v>45</v>
      </c>
      <c r="F6" s="7"/>
    </row>
    <row r="7" spans="1:6" ht="27" x14ac:dyDescent="0.25">
      <c r="A7" s="96" t="s">
        <v>47</v>
      </c>
      <c r="B7" s="81" t="s">
        <v>345</v>
      </c>
      <c r="C7" s="82" t="s">
        <v>45</v>
      </c>
      <c r="D7" s="81" t="s">
        <v>247</v>
      </c>
      <c r="E7" s="89" t="s">
        <v>45</v>
      </c>
      <c r="F7" s="7"/>
    </row>
    <row r="8" spans="1:6" x14ac:dyDescent="0.25">
      <c r="A8" s="96" t="s">
        <v>50</v>
      </c>
      <c r="B8" s="81" t="s">
        <v>66</v>
      </c>
      <c r="C8" s="82" t="s">
        <v>51</v>
      </c>
      <c r="D8" s="81" t="s">
        <v>66</v>
      </c>
      <c r="E8" s="89" t="s">
        <v>51</v>
      </c>
      <c r="F8" s="7"/>
    </row>
    <row r="9" spans="1:6" ht="27" x14ac:dyDescent="0.25">
      <c r="A9" s="96" t="s">
        <v>54</v>
      </c>
      <c r="B9" s="81" t="s">
        <v>66</v>
      </c>
      <c r="C9" s="82" t="s">
        <v>56</v>
      </c>
      <c r="D9" s="81" t="s">
        <v>66</v>
      </c>
      <c r="E9" s="89" t="s">
        <v>56</v>
      </c>
      <c r="F9" s="7"/>
    </row>
    <row r="10" spans="1:6" ht="18" x14ac:dyDescent="0.25">
      <c r="A10" s="96" t="s">
        <v>60</v>
      </c>
      <c r="B10" s="81" t="s">
        <v>492</v>
      </c>
      <c r="C10" s="82" t="s">
        <v>62</v>
      </c>
      <c r="D10" s="81" t="s">
        <v>493</v>
      </c>
      <c r="E10" s="89" t="s">
        <v>62</v>
      </c>
      <c r="F10" s="7"/>
    </row>
    <row r="11" spans="1:6" x14ac:dyDescent="0.25">
      <c r="A11" s="96" t="s">
        <v>65</v>
      </c>
      <c r="B11" s="81" t="s">
        <v>66</v>
      </c>
      <c r="C11" s="82" t="s">
        <v>66</v>
      </c>
      <c r="D11" s="81" t="s">
        <v>66</v>
      </c>
      <c r="E11" s="89" t="s">
        <v>66</v>
      </c>
      <c r="F11" s="7"/>
    </row>
    <row r="12" spans="1:6" ht="27" x14ac:dyDescent="0.25">
      <c r="A12" s="96" t="s">
        <v>69</v>
      </c>
      <c r="B12" s="81" t="s">
        <v>70</v>
      </c>
      <c r="C12" s="82" t="s">
        <v>45</v>
      </c>
      <c r="D12" s="81" t="s">
        <v>70</v>
      </c>
      <c r="E12" s="89" t="s">
        <v>45</v>
      </c>
      <c r="F12" s="7"/>
    </row>
    <row r="13" spans="1:6" ht="27" x14ac:dyDescent="0.25">
      <c r="A13" s="96" t="s">
        <v>72</v>
      </c>
      <c r="B13" s="81" t="s">
        <v>70</v>
      </c>
      <c r="C13" s="82" t="s">
        <v>45</v>
      </c>
      <c r="D13" s="81" t="s">
        <v>70</v>
      </c>
      <c r="E13" s="89" t="s">
        <v>45</v>
      </c>
      <c r="F13" s="7"/>
    </row>
    <row r="14" spans="1:6" ht="27" x14ac:dyDescent="0.25">
      <c r="A14" s="96" t="s">
        <v>75</v>
      </c>
      <c r="B14" s="81" t="s">
        <v>70</v>
      </c>
      <c r="C14" s="82" t="s">
        <v>45</v>
      </c>
      <c r="D14" s="81" t="s">
        <v>70</v>
      </c>
      <c r="E14" s="89" t="s">
        <v>45</v>
      </c>
      <c r="F14" s="7"/>
    </row>
    <row r="15" spans="1:6" ht="27" x14ac:dyDescent="0.25">
      <c r="A15" s="127" t="s">
        <v>76</v>
      </c>
      <c r="B15" s="83" t="s">
        <v>70</v>
      </c>
      <c r="C15" s="89" t="s">
        <v>45</v>
      </c>
      <c r="D15" s="83" t="s">
        <v>70</v>
      </c>
      <c r="E15" s="89" t="s">
        <v>45</v>
      </c>
      <c r="F15" s="7"/>
    </row>
    <row r="16" spans="1:6" ht="27" x14ac:dyDescent="0.25">
      <c r="A16" s="96" t="s">
        <v>83</v>
      </c>
      <c r="B16" s="81" t="s">
        <v>70</v>
      </c>
      <c r="C16" s="82" t="s">
        <v>45</v>
      </c>
      <c r="D16" s="81" t="s">
        <v>70</v>
      </c>
      <c r="E16" s="89" t="s">
        <v>45</v>
      </c>
      <c r="F16" s="7"/>
    </row>
    <row r="17" spans="1:6" ht="27" x14ac:dyDescent="0.25">
      <c r="A17" s="96" t="s">
        <v>85</v>
      </c>
      <c r="B17" s="81" t="s">
        <v>364</v>
      </c>
      <c r="C17" s="82" t="s">
        <v>45</v>
      </c>
      <c r="D17" s="81" t="s">
        <v>247</v>
      </c>
      <c r="E17" s="89" t="s">
        <v>45</v>
      </c>
      <c r="F17" s="7"/>
    </row>
    <row r="18" spans="1:6" ht="14.25" customHeight="1" x14ac:dyDescent="0.25">
      <c r="A18" s="96" t="s">
        <v>94</v>
      </c>
      <c r="B18" s="81" t="s">
        <v>364</v>
      </c>
      <c r="C18" s="82" t="s">
        <v>45</v>
      </c>
      <c r="D18" s="81" t="s">
        <v>305</v>
      </c>
      <c r="E18" s="89" t="s">
        <v>45</v>
      </c>
      <c r="F18" s="7"/>
    </row>
    <row r="19" spans="1:6" ht="27" customHeight="1" x14ac:dyDescent="0.25">
      <c r="A19" s="96" t="s">
        <v>98</v>
      </c>
      <c r="B19" s="81" t="s">
        <v>369</v>
      </c>
      <c r="C19" s="82" t="s">
        <v>45</v>
      </c>
      <c r="D19" s="81" t="s">
        <v>305</v>
      </c>
      <c r="E19" s="89" t="s">
        <v>45</v>
      </c>
      <c r="F19" s="7"/>
    </row>
    <row r="20" spans="1:6" ht="14.25" customHeight="1" x14ac:dyDescent="0.25">
      <c r="A20" s="96" t="s">
        <v>100</v>
      </c>
      <c r="B20" s="81" t="s">
        <v>369</v>
      </c>
      <c r="C20" s="82" t="s">
        <v>45</v>
      </c>
      <c r="D20" s="81" t="s">
        <v>247</v>
      </c>
      <c r="E20" s="89" t="s">
        <v>45</v>
      </c>
      <c r="F20" s="7"/>
    </row>
    <row r="21" spans="1:6" ht="27" x14ac:dyDescent="0.25">
      <c r="A21" s="96" t="s">
        <v>103</v>
      </c>
      <c r="B21" s="81" t="s">
        <v>104</v>
      </c>
      <c r="C21" s="82" t="s">
        <v>45</v>
      </c>
      <c r="D21" s="81" t="s">
        <v>104</v>
      </c>
      <c r="E21" s="89" t="s">
        <v>258</v>
      </c>
      <c r="F21" s="7"/>
    </row>
    <row r="22" spans="1:6" ht="72" customHeight="1" x14ac:dyDescent="0.25">
      <c r="A22" s="96" t="s">
        <v>110</v>
      </c>
      <c r="B22" s="81" t="s">
        <v>375</v>
      </c>
      <c r="C22" s="82" t="s">
        <v>112</v>
      </c>
      <c r="D22" s="81" t="s">
        <v>315</v>
      </c>
      <c r="E22" s="89" t="s">
        <v>112</v>
      </c>
      <c r="F22" s="7"/>
    </row>
    <row r="23" spans="1:6" x14ac:dyDescent="0.25">
      <c r="A23" s="127" t="s">
        <v>131</v>
      </c>
      <c r="B23" s="83" t="s">
        <v>87</v>
      </c>
      <c r="C23" s="89" t="s">
        <v>87</v>
      </c>
      <c r="D23" s="83" t="s">
        <v>320</v>
      </c>
      <c r="E23" s="89" t="s">
        <v>320</v>
      </c>
      <c r="F23" s="7"/>
    </row>
    <row r="24" spans="1:6" ht="27" x14ac:dyDescent="0.25">
      <c r="A24" s="96" t="s">
        <v>134</v>
      </c>
      <c r="B24" s="9" t="s">
        <v>388</v>
      </c>
      <c r="C24" s="3" t="s">
        <v>45</v>
      </c>
      <c r="D24" s="9" t="s">
        <v>247</v>
      </c>
      <c r="E24" s="3" t="s">
        <v>45</v>
      </c>
      <c r="F24" s="7"/>
    </row>
    <row r="25" spans="1:6" x14ac:dyDescent="0.25">
      <c r="A25" s="96" t="s">
        <v>135</v>
      </c>
      <c r="B25" s="9" t="s">
        <v>87</v>
      </c>
      <c r="C25" s="3" t="s">
        <v>87</v>
      </c>
      <c r="D25" s="9" t="s">
        <v>498</v>
      </c>
      <c r="E25" s="3" t="s">
        <v>498</v>
      </c>
      <c r="F25" s="7"/>
    </row>
    <row r="26" spans="1:6" ht="27" x14ac:dyDescent="0.25">
      <c r="A26" s="96" t="s">
        <v>94</v>
      </c>
      <c r="B26" s="9" t="s">
        <v>345</v>
      </c>
      <c r="C26" s="3" t="s">
        <v>45</v>
      </c>
      <c r="D26" s="9" t="s">
        <v>305</v>
      </c>
      <c r="E26" s="3" t="s">
        <v>45</v>
      </c>
      <c r="F26" s="7"/>
    </row>
    <row r="27" spans="1:6" ht="27" x14ac:dyDescent="0.25">
      <c r="A27" s="96" t="s">
        <v>141</v>
      </c>
      <c r="B27" s="9" t="s">
        <v>87</v>
      </c>
      <c r="C27" s="3" t="s">
        <v>45</v>
      </c>
      <c r="D27" s="9" t="s">
        <v>320</v>
      </c>
      <c r="E27" s="3" t="s">
        <v>45</v>
      </c>
      <c r="F27" s="7"/>
    </row>
    <row r="28" spans="1:6" ht="27" x14ac:dyDescent="0.25">
      <c r="A28" s="96" t="s">
        <v>98</v>
      </c>
      <c r="B28" s="9" t="s">
        <v>343</v>
      </c>
      <c r="C28" s="3" t="s">
        <v>45</v>
      </c>
      <c r="D28" s="9" t="s">
        <v>305</v>
      </c>
      <c r="E28" s="3" t="s">
        <v>45</v>
      </c>
      <c r="F28" s="7"/>
    </row>
    <row r="29" spans="1:6" ht="27" x14ac:dyDescent="0.25">
      <c r="A29" s="96" t="s">
        <v>143</v>
      </c>
      <c r="B29" s="9" t="s">
        <v>343</v>
      </c>
      <c r="C29" s="3" t="s">
        <v>45</v>
      </c>
      <c r="D29" s="9" t="s">
        <v>247</v>
      </c>
      <c r="E29" s="3" t="s">
        <v>45</v>
      </c>
      <c r="F29" s="7"/>
    </row>
    <row r="30" spans="1:6" ht="36" x14ac:dyDescent="0.25">
      <c r="A30" s="96" t="s">
        <v>145</v>
      </c>
      <c r="B30" s="9" t="s">
        <v>379</v>
      </c>
      <c r="C30" s="3" t="s">
        <v>267</v>
      </c>
      <c r="D30" s="9" t="s">
        <v>496</v>
      </c>
      <c r="E30" s="3" t="s">
        <v>267</v>
      </c>
      <c r="F30" s="7"/>
    </row>
    <row r="31" spans="1:6" ht="27" x14ac:dyDescent="0.25">
      <c r="A31" s="156" t="s">
        <v>147</v>
      </c>
      <c r="B31" s="117" t="s">
        <v>343</v>
      </c>
      <c r="C31" s="135" t="s">
        <v>45</v>
      </c>
      <c r="D31" s="83" t="s">
        <v>499</v>
      </c>
      <c r="E31" s="135" t="s">
        <v>45</v>
      </c>
      <c r="F31" s="138"/>
    </row>
    <row r="32" spans="1:6" x14ac:dyDescent="0.25">
      <c r="A32" s="128"/>
      <c r="B32" s="132"/>
      <c r="C32" s="134"/>
      <c r="D32" s="9" t="s">
        <v>305</v>
      </c>
      <c r="E32" s="134"/>
      <c r="F32" s="138"/>
    </row>
    <row r="33" spans="1:6" ht="36" x14ac:dyDescent="0.25">
      <c r="A33" s="96" t="s">
        <v>149</v>
      </c>
      <c r="B33" s="9" t="s">
        <v>379</v>
      </c>
      <c r="C33" s="3" t="s">
        <v>267</v>
      </c>
      <c r="D33" s="9" t="s">
        <v>496</v>
      </c>
      <c r="E33" s="3" t="s">
        <v>267</v>
      </c>
      <c r="F33" s="7"/>
    </row>
    <row r="34" spans="1:6" ht="27" x14ac:dyDescent="0.25">
      <c r="A34" s="128" t="s">
        <v>150</v>
      </c>
      <c r="B34" s="132" t="s">
        <v>343</v>
      </c>
      <c r="C34" s="134" t="s">
        <v>45</v>
      </c>
      <c r="D34" s="9" t="s">
        <v>499</v>
      </c>
      <c r="E34" s="134" t="s">
        <v>45</v>
      </c>
      <c r="F34" s="138"/>
    </row>
    <row r="35" spans="1:6" x14ac:dyDescent="0.25">
      <c r="A35" s="128"/>
      <c r="B35" s="132"/>
      <c r="C35" s="134"/>
      <c r="D35" s="9" t="s">
        <v>305</v>
      </c>
      <c r="E35" s="134"/>
      <c r="F35" s="138"/>
    </row>
    <row r="36" spans="1:6" ht="63" x14ac:dyDescent="0.25">
      <c r="A36" s="96" t="s">
        <v>167</v>
      </c>
      <c r="B36" s="9" t="s">
        <v>404</v>
      </c>
      <c r="C36" s="3" t="s">
        <v>170</v>
      </c>
      <c r="D36" s="9" t="s">
        <v>282</v>
      </c>
      <c r="E36" s="3" t="s">
        <v>170</v>
      </c>
      <c r="F36" s="4"/>
    </row>
    <row r="37" spans="1:6" ht="27" x14ac:dyDescent="0.25">
      <c r="A37" s="96" t="s">
        <v>172</v>
      </c>
      <c r="B37" s="9" t="s">
        <v>407</v>
      </c>
      <c r="C37" s="3" t="s">
        <v>45</v>
      </c>
      <c r="D37" s="9" t="s">
        <v>287</v>
      </c>
      <c r="E37" s="3" t="s">
        <v>173</v>
      </c>
      <c r="F37" s="6"/>
    </row>
    <row r="38" spans="1:6" ht="27" x14ac:dyDescent="0.25">
      <c r="A38" s="96" t="s">
        <v>175</v>
      </c>
      <c r="B38" s="9" t="s">
        <v>409</v>
      </c>
      <c r="C38" s="3" t="s">
        <v>45</v>
      </c>
      <c r="D38" s="9" t="s">
        <v>305</v>
      </c>
      <c r="E38" s="3" t="s">
        <v>45</v>
      </c>
      <c r="F38" s="6"/>
    </row>
    <row r="39" spans="1:6" ht="27" x14ac:dyDescent="0.25">
      <c r="A39" s="96" t="s">
        <v>181</v>
      </c>
      <c r="B39" s="9" t="s">
        <v>112</v>
      </c>
      <c r="C39" s="3" t="s">
        <v>112</v>
      </c>
      <c r="D39" s="9" t="s">
        <v>182</v>
      </c>
      <c r="E39" s="3" t="s">
        <v>191</v>
      </c>
      <c r="F39" s="6"/>
    </row>
    <row r="40" spans="1:6" ht="18" x14ac:dyDescent="0.25">
      <c r="A40" s="96" t="s">
        <v>186</v>
      </c>
      <c r="B40" s="9" t="s">
        <v>112</v>
      </c>
      <c r="C40" s="3" t="s">
        <v>112</v>
      </c>
      <c r="D40" s="9" t="s">
        <v>503</v>
      </c>
      <c r="E40" s="3" t="s">
        <v>503</v>
      </c>
      <c r="F40" s="6"/>
    </row>
    <row r="41" spans="1:6" ht="36" x14ac:dyDescent="0.25">
      <c r="A41" s="96" t="s">
        <v>196</v>
      </c>
      <c r="B41" s="9" t="s">
        <v>424</v>
      </c>
      <c r="C41" s="3" t="s">
        <v>425</v>
      </c>
      <c r="D41" s="9" t="s">
        <v>292</v>
      </c>
      <c r="E41" s="3" t="s">
        <v>504</v>
      </c>
      <c r="F41" s="4"/>
    </row>
    <row r="42" spans="1:6" x14ac:dyDescent="0.25">
      <c r="A42" s="129" t="s">
        <v>3</v>
      </c>
      <c r="B42" s="129"/>
      <c r="C42" s="129"/>
      <c r="D42" s="129"/>
      <c r="E42" s="129"/>
      <c r="F42" s="2"/>
    </row>
    <row r="43" spans="1:6" ht="18" x14ac:dyDescent="0.25">
      <c r="A43" s="3" t="s">
        <v>4</v>
      </c>
      <c r="B43" s="132" t="s">
        <v>490</v>
      </c>
      <c r="C43" s="132"/>
      <c r="D43" s="134" t="s">
        <v>491</v>
      </c>
      <c r="E43" s="134"/>
      <c r="F43" s="2"/>
    </row>
    <row r="44" spans="1:6" ht="18" x14ac:dyDescent="0.25">
      <c r="A44" s="3" t="s">
        <v>5</v>
      </c>
      <c r="B44" s="132" t="s">
        <v>332</v>
      </c>
      <c r="C44" s="132"/>
      <c r="D44" s="134" t="s">
        <v>489</v>
      </c>
      <c r="E44" s="134"/>
      <c r="F44" s="2"/>
    </row>
    <row r="45" spans="1:6" x14ac:dyDescent="0.25">
      <c r="A45" s="3" t="s">
        <v>6</v>
      </c>
      <c r="B45" s="132" t="s">
        <v>7</v>
      </c>
      <c r="C45" s="132"/>
      <c r="D45" s="134" t="s">
        <v>7</v>
      </c>
      <c r="E45" s="134"/>
      <c r="F45" s="2"/>
    </row>
    <row r="46" spans="1:6" ht="36" x14ac:dyDescent="0.25">
      <c r="A46" s="3" t="s">
        <v>9</v>
      </c>
      <c r="B46" s="132" t="s">
        <v>244</v>
      </c>
      <c r="C46" s="132"/>
      <c r="D46" s="134" t="s">
        <v>244</v>
      </c>
      <c r="E46" s="134"/>
      <c r="F46" s="2"/>
    </row>
    <row r="47" spans="1:6" x14ac:dyDescent="0.25">
      <c r="A47" s="3" t="s">
        <v>12</v>
      </c>
      <c r="B47" s="132" t="s">
        <v>245</v>
      </c>
      <c r="C47" s="132"/>
      <c r="D47" s="134" t="s">
        <v>245</v>
      </c>
      <c r="E47" s="134"/>
      <c r="F47" s="2"/>
    </row>
    <row r="48" spans="1:6" x14ac:dyDescent="0.25">
      <c r="A48" s="3" t="s">
        <v>15</v>
      </c>
      <c r="B48" s="132" t="s">
        <v>16</v>
      </c>
      <c r="C48" s="132"/>
      <c r="D48" s="134" t="s">
        <v>16</v>
      </c>
      <c r="E48" s="134"/>
      <c r="F48" s="2"/>
    </row>
    <row r="49" spans="1:6" x14ac:dyDescent="0.25">
      <c r="A49" s="3" t="s">
        <v>18</v>
      </c>
      <c r="B49" s="132" t="s">
        <v>19</v>
      </c>
      <c r="C49" s="132"/>
      <c r="D49" s="134" t="s">
        <v>19</v>
      </c>
      <c r="E49" s="134"/>
      <c r="F49" s="2"/>
    </row>
    <row r="50" spans="1:6" x14ac:dyDescent="0.25">
      <c r="A50" s="5" t="s">
        <v>20</v>
      </c>
      <c r="B50" s="129" t="s">
        <v>21</v>
      </c>
      <c r="C50" s="129"/>
      <c r="D50" s="129" t="s">
        <v>21</v>
      </c>
      <c r="E50" s="129"/>
      <c r="F50" s="2"/>
    </row>
    <row r="51" spans="1:6" x14ac:dyDescent="0.25">
      <c r="A51" s="129" t="s">
        <v>26</v>
      </c>
      <c r="B51" s="129"/>
      <c r="C51" s="129"/>
      <c r="D51" s="129"/>
      <c r="E51" s="129"/>
      <c r="F51" s="2"/>
    </row>
    <row r="52" spans="1:6" x14ac:dyDescent="0.25">
      <c r="A52" s="3" t="s">
        <v>27</v>
      </c>
      <c r="B52" s="132" t="s">
        <v>28</v>
      </c>
      <c r="C52" s="132"/>
      <c r="D52" s="134" t="s">
        <v>28</v>
      </c>
      <c r="E52" s="134"/>
      <c r="F52" s="6"/>
    </row>
    <row r="53" spans="1:6" x14ac:dyDescent="0.25">
      <c r="A53" s="3" t="s">
        <v>29</v>
      </c>
      <c r="B53" s="132" t="s">
        <v>28</v>
      </c>
      <c r="C53" s="132"/>
      <c r="D53" s="134" t="s">
        <v>28</v>
      </c>
      <c r="E53" s="134"/>
      <c r="F53" s="2"/>
    </row>
    <row r="54" spans="1:6" ht="18" x14ac:dyDescent="0.25">
      <c r="A54" s="3" t="s">
        <v>30</v>
      </c>
      <c r="B54" s="132" t="s">
        <v>45</v>
      </c>
      <c r="C54" s="132"/>
      <c r="D54" s="134" t="s">
        <v>45</v>
      </c>
      <c r="E54" s="134"/>
      <c r="F54" s="2"/>
    </row>
    <row r="55" spans="1:6" ht="27" x14ac:dyDescent="0.25">
      <c r="A55" s="10" t="s">
        <v>32</v>
      </c>
      <c r="B55" s="106" t="s">
        <v>33</v>
      </c>
      <c r="C55" s="106"/>
      <c r="D55" s="108" t="s">
        <v>33</v>
      </c>
      <c r="E55" s="108"/>
      <c r="F55" s="2"/>
    </row>
    <row r="56" spans="1:6" ht="18" x14ac:dyDescent="0.25">
      <c r="A56" s="3" t="s">
        <v>34</v>
      </c>
      <c r="B56" s="132" t="s">
        <v>35</v>
      </c>
      <c r="C56" s="132"/>
      <c r="D56" s="134" t="s">
        <v>35</v>
      </c>
      <c r="E56" s="134"/>
      <c r="F56" s="6"/>
    </row>
    <row r="57" spans="1:6" x14ac:dyDescent="0.25">
      <c r="A57" s="3" t="s">
        <v>36</v>
      </c>
      <c r="B57" s="132" t="s">
        <v>37</v>
      </c>
      <c r="C57" s="132"/>
      <c r="D57" s="134" t="s">
        <v>37</v>
      </c>
      <c r="E57" s="134"/>
      <c r="F57" s="2"/>
    </row>
    <row r="58" spans="1:6" ht="81" x14ac:dyDescent="0.25">
      <c r="A58" s="3" t="s">
        <v>38</v>
      </c>
      <c r="B58" s="132" t="s">
        <v>39</v>
      </c>
      <c r="C58" s="132"/>
      <c r="D58" s="134" t="s">
        <v>39</v>
      </c>
      <c r="E58" s="134"/>
      <c r="F58" s="4"/>
    </row>
    <row r="59" spans="1:6" x14ac:dyDescent="0.25">
      <c r="A59" s="129" t="s">
        <v>40</v>
      </c>
      <c r="B59" s="129"/>
      <c r="C59" s="129"/>
      <c r="D59" s="129"/>
      <c r="E59" s="129"/>
      <c r="F59" s="2"/>
    </row>
    <row r="60" spans="1:6" x14ac:dyDescent="0.25">
      <c r="A60" s="8" t="s">
        <v>40</v>
      </c>
      <c r="B60" s="8" t="s">
        <v>41</v>
      </c>
      <c r="C60" s="8" t="s">
        <v>42</v>
      </c>
      <c r="D60" s="8" t="s">
        <v>41</v>
      </c>
      <c r="E60" s="8" t="s">
        <v>42</v>
      </c>
      <c r="F60" s="4"/>
    </row>
    <row r="61" spans="1:6" x14ac:dyDescent="0.25">
      <c r="A61" s="129" t="s">
        <v>67</v>
      </c>
      <c r="B61" s="129"/>
      <c r="C61" s="129"/>
      <c r="D61" s="129"/>
      <c r="E61" s="129"/>
      <c r="F61" s="7"/>
    </row>
    <row r="62" spans="1:6" x14ac:dyDescent="0.25">
      <c r="A62" s="8" t="s">
        <v>68</v>
      </c>
      <c r="B62" s="8" t="s">
        <v>41</v>
      </c>
      <c r="C62" s="8" t="s">
        <v>42</v>
      </c>
      <c r="D62" s="8" t="s">
        <v>41</v>
      </c>
      <c r="E62" s="8" t="s">
        <v>42</v>
      </c>
      <c r="F62" s="7"/>
    </row>
    <row r="63" spans="1:6" ht="27" x14ac:dyDescent="0.25">
      <c r="A63" s="3" t="s">
        <v>71</v>
      </c>
      <c r="B63" s="9" t="s">
        <v>70</v>
      </c>
      <c r="C63" s="3" t="s">
        <v>45</v>
      </c>
      <c r="D63" s="9" t="s">
        <v>70</v>
      </c>
      <c r="E63" s="3" t="s">
        <v>45</v>
      </c>
      <c r="F63" s="7"/>
    </row>
    <row r="64" spans="1:6" ht="27" x14ac:dyDescent="0.25">
      <c r="A64" s="3" t="s">
        <v>73</v>
      </c>
      <c r="B64" s="9" t="s">
        <v>70</v>
      </c>
      <c r="C64" s="3" t="s">
        <v>45</v>
      </c>
      <c r="D64" s="9" t="s">
        <v>70</v>
      </c>
      <c r="E64" s="3" t="s">
        <v>45</v>
      </c>
      <c r="F64" s="7"/>
    </row>
    <row r="65" spans="1:6" ht="27" x14ac:dyDescent="0.25">
      <c r="A65" s="3" t="s">
        <v>74</v>
      </c>
      <c r="B65" s="9" t="s">
        <v>70</v>
      </c>
      <c r="C65" s="3" t="s">
        <v>45</v>
      </c>
      <c r="D65" s="9" t="s">
        <v>70</v>
      </c>
      <c r="E65" s="3" t="s">
        <v>45</v>
      </c>
      <c r="F65" s="7"/>
    </row>
    <row r="66" spans="1:6" ht="27" x14ac:dyDescent="0.25">
      <c r="A66" s="3" t="s">
        <v>77</v>
      </c>
      <c r="B66" s="9" t="s">
        <v>78</v>
      </c>
      <c r="C66" s="3" t="s">
        <v>45</v>
      </c>
      <c r="D66" s="9" t="s">
        <v>78</v>
      </c>
      <c r="E66" s="3" t="s">
        <v>45</v>
      </c>
      <c r="F66" s="7"/>
    </row>
    <row r="67" spans="1:6" ht="27" x14ac:dyDescent="0.25">
      <c r="A67" s="3" t="s">
        <v>79</v>
      </c>
      <c r="B67" s="9" t="s">
        <v>70</v>
      </c>
      <c r="C67" s="3" t="s">
        <v>45</v>
      </c>
      <c r="D67" s="9" t="s">
        <v>70</v>
      </c>
      <c r="E67" s="3" t="s">
        <v>45</v>
      </c>
      <c r="F67" s="7"/>
    </row>
    <row r="68" spans="1:6" x14ac:dyDescent="0.25">
      <c r="A68" s="8" t="s">
        <v>80</v>
      </c>
      <c r="B68" s="8" t="s">
        <v>41</v>
      </c>
      <c r="C68" s="8" t="s">
        <v>42</v>
      </c>
      <c r="D68" s="8" t="s">
        <v>41</v>
      </c>
      <c r="E68" s="8" t="s">
        <v>42</v>
      </c>
      <c r="F68" s="7"/>
    </row>
    <row r="69" spans="1:6" ht="27" x14ac:dyDescent="0.25">
      <c r="A69" s="3" t="s">
        <v>81</v>
      </c>
      <c r="B69" s="9" t="s">
        <v>364</v>
      </c>
      <c r="C69" s="3" t="s">
        <v>45</v>
      </c>
      <c r="D69" s="9" t="s">
        <v>313</v>
      </c>
      <c r="E69" s="3" t="s">
        <v>45</v>
      </c>
      <c r="F69" s="7"/>
    </row>
    <row r="70" spans="1:6" ht="27" x14ac:dyDescent="0.25">
      <c r="A70" s="3" t="s">
        <v>138</v>
      </c>
      <c r="B70" s="9" t="s">
        <v>345</v>
      </c>
      <c r="C70" s="3" t="s">
        <v>45</v>
      </c>
      <c r="D70" s="9" t="s">
        <v>87</v>
      </c>
      <c r="E70" s="3" t="s">
        <v>45</v>
      </c>
      <c r="F70" s="7"/>
    </row>
    <row r="71" spans="1:6" ht="27" x14ac:dyDescent="0.25">
      <c r="A71" s="3" t="s">
        <v>95</v>
      </c>
      <c r="B71" s="9" t="s">
        <v>364</v>
      </c>
      <c r="C71" s="3" t="s">
        <v>45</v>
      </c>
      <c r="D71" s="9" t="s">
        <v>313</v>
      </c>
      <c r="E71" s="3" t="s">
        <v>45</v>
      </c>
      <c r="F71" s="7"/>
    </row>
    <row r="72" spans="1:6" ht="27" x14ac:dyDescent="0.25">
      <c r="A72" s="3" t="s">
        <v>97</v>
      </c>
      <c r="B72" s="9" t="s">
        <v>364</v>
      </c>
      <c r="C72" s="3" t="s">
        <v>45</v>
      </c>
      <c r="D72" s="9" t="s">
        <v>313</v>
      </c>
      <c r="E72" s="3" t="s">
        <v>45</v>
      </c>
      <c r="F72" s="7"/>
    </row>
    <row r="73" spans="1:6" x14ac:dyDescent="0.25">
      <c r="A73" s="8" t="s">
        <v>102</v>
      </c>
      <c r="B73" s="8" t="s">
        <v>41</v>
      </c>
      <c r="C73" s="8" t="s">
        <v>42</v>
      </c>
      <c r="D73" s="8" t="s">
        <v>41</v>
      </c>
      <c r="E73" s="8" t="s">
        <v>42</v>
      </c>
      <c r="F73" s="7"/>
    </row>
    <row r="74" spans="1:6" ht="27" x14ac:dyDescent="0.25">
      <c r="A74" s="3" t="s">
        <v>105</v>
      </c>
      <c r="B74" s="9" t="s">
        <v>371</v>
      </c>
      <c r="C74" s="3" t="s">
        <v>260</v>
      </c>
      <c r="D74" s="9" t="s">
        <v>494</v>
      </c>
      <c r="E74" s="3" t="s">
        <v>260</v>
      </c>
      <c r="F74" s="7"/>
    </row>
    <row r="75" spans="1:6" ht="27" x14ac:dyDescent="0.25">
      <c r="A75" s="3" t="s">
        <v>108</v>
      </c>
      <c r="B75" s="9" t="s">
        <v>70</v>
      </c>
      <c r="C75" s="3" t="s">
        <v>495</v>
      </c>
      <c r="D75" s="9" t="s">
        <v>70</v>
      </c>
      <c r="E75" s="3" t="s">
        <v>495</v>
      </c>
      <c r="F75" s="7"/>
    </row>
    <row r="76" spans="1:6" x14ac:dyDescent="0.25">
      <c r="A76" s="14"/>
      <c r="B76" s="13"/>
      <c r="C76" s="3" t="s">
        <v>166</v>
      </c>
      <c r="D76" s="13"/>
      <c r="E76" s="3" t="s">
        <v>166</v>
      </c>
      <c r="F76" s="7"/>
    </row>
    <row r="77" spans="1:6" x14ac:dyDescent="0.25">
      <c r="A77" s="8" t="s">
        <v>109</v>
      </c>
      <c r="B77" s="8" t="s">
        <v>41</v>
      </c>
      <c r="C77" s="8" t="s">
        <v>42</v>
      </c>
      <c r="D77" s="8" t="s">
        <v>41</v>
      </c>
      <c r="E77" s="8" t="s">
        <v>42</v>
      </c>
      <c r="F77" s="7"/>
    </row>
    <row r="78" spans="1:6" ht="27" x14ac:dyDescent="0.25">
      <c r="A78" s="3" t="s">
        <v>114</v>
      </c>
      <c r="B78" s="9" t="s">
        <v>377</v>
      </c>
      <c r="C78" s="3" t="s">
        <v>45</v>
      </c>
      <c r="D78" s="9" t="s">
        <v>317</v>
      </c>
      <c r="E78" s="3" t="s">
        <v>45</v>
      </c>
      <c r="F78" s="7"/>
    </row>
    <row r="79" spans="1:6" x14ac:dyDescent="0.25">
      <c r="A79" s="130" t="s">
        <v>117</v>
      </c>
      <c r="B79" s="130" t="s">
        <v>41</v>
      </c>
      <c r="C79" s="130" t="s">
        <v>42</v>
      </c>
      <c r="D79" s="130" t="s">
        <v>41</v>
      </c>
      <c r="E79" s="130" t="s">
        <v>42</v>
      </c>
      <c r="F79" s="86"/>
    </row>
    <row r="80" spans="1:6" ht="36" x14ac:dyDescent="0.25">
      <c r="A80" s="15" t="s">
        <v>118</v>
      </c>
      <c r="B80" s="12" t="s">
        <v>379</v>
      </c>
      <c r="C80" s="15" t="s">
        <v>267</v>
      </c>
      <c r="D80" s="12" t="s">
        <v>496</v>
      </c>
      <c r="E80" s="15" t="s">
        <v>267</v>
      </c>
      <c r="F80" s="86"/>
    </row>
    <row r="81" spans="1:6" ht="27" x14ac:dyDescent="0.25">
      <c r="A81" s="3" t="s">
        <v>122</v>
      </c>
      <c r="B81" s="9" t="s">
        <v>70</v>
      </c>
      <c r="C81" s="3" t="s">
        <v>45</v>
      </c>
      <c r="D81" s="9" t="s">
        <v>70</v>
      </c>
      <c r="E81" s="3" t="s">
        <v>258</v>
      </c>
      <c r="F81" s="7"/>
    </row>
    <row r="82" spans="1:6" ht="45" x14ac:dyDescent="0.25">
      <c r="A82" s="10" t="s">
        <v>123</v>
      </c>
      <c r="B82" s="11" t="s">
        <v>383</v>
      </c>
      <c r="C82" s="10" t="s">
        <v>269</v>
      </c>
      <c r="D82" s="11" t="s">
        <v>497</v>
      </c>
      <c r="E82" s="10" t="s">
        <v>269</v>
      </c>
      <c r="F82" s="86"/>
    </row>
    <row r="83" spans="1:6" ht="27" x14ac:dyDescent="0.25">
      <c r="A83" s="15" t="s">
        <v>128</v>
      </c>
      <c r="B83" s="12" t="s">
        <v>87</v>
      </c>
      <c r="C83" s="15" t="s">
        <v>45</v>
      </c>
      <c r="D83" s="12" t="s">
        <v>70</v>
      </c>
      <c r="E83" s="15" t="s">
        <v>258</v>
      </c>
      <c r="F83" s="86"/>
    </row>
    <row r="84" spans="1:6" ht="27" x14ac:dyDescent="0.25">
      <c r="A84" s="3" t="s">
        <v>129</v>
      </c>
      <c r="B84" s="9" t="s">
        <v>70</v>
      </c>
      <c r="C84" s="3" t="s">
        <v>45</v>
      </c>
      <c r="D84" s="9" t="s">
        <v>70</v>
      </c>
      <c r="E84" s="3" t="s">
        <v>45</v>
      </c>
      <c r="F84" s="7"/>
    </row>
    <row r="85" spans="1:6" x14ac:dyDescent="0.25">
      <c r="A85" s="8" t="s">
        <v>130</v>
      </c>
      <c r="B85" s="8" t="s">
        <v>41</v>
      </c>
      <c r="C85" s="8" t="s">
        <v>42</v>
      </c>
      <c r="D85" s="8" t="s">
        <v>41</v>
      </c>
      <c r="E85" s="8" t="s">
        <v>42</v>
      </c>
      <c r="F85" s="7"/>
    </row>
    <row r="86" spans="1:6" x14ac:dyDescent="0.25">
      <c r="A86" s="8" t="s">
        <v>136</v>
      </c>
      <c r="B86" s="8" t="s">
        <v>41</v>
      </c>
      <c r="C86" s="8" t="s">
        <v>42</v>
      </c>
      <c r="D86" s="8" t="s">
        <v>41</v>
      </c>
      <c r="E86" s="8" t="s">
        <v>42</v>
      </c>
      <c r="F86" s="7"/>
    </row>
    <row r="87" spans="1:6" ht="27" x14ac:dyDescent="0.25">
      <c r="A87" s="3" t="s">
        <v>85</v>
      </c>
      <c r="B87" s="9" t="s">
        <v>345</v>
      </c>
      <c r="C87" s="3" t="s">
        <v>45</v>
      </c>
      <c r="D87" s="9" t="s">
        <v>247</v>
      </c>
      <c r="E87" s="3" t="s">
        <v>45</v>
      </c>
      <c r="F87" s="7"/>
    </row>
    <row r="88" spans="1:6" ht="27" x14ac:dyDescent="0.25">
      <c r="A88" s="3" t="s">
        <v>138</v>
      </c>
      <c r="B88" s="9" t="s">
        <v>345</v>
      </c>
      <c r="C88" s="3" t="s">
        <v>45</v>
      </c>
      <c r="D88" s="9" t="s">
        <v>87</v>
      </c>
      <c r="E88" s="3" t="s">
        <v>45</v>
      </c>
      <c r="F88" s="7"/>
    </row>
    <row r="89" spans="1:6" x14ac:dyDescent="0.25">
      <c r="A89" s="8" t="s">
        <v>144</v>
      </c>
      <c r="B89" s="8" t="s">
        <v>41</v>
      </c>
      <c r="C89" s="8" t="s">
        <v>42</v>
      </c>
      <c r="D89" s="8" t="s">
        <v>41</v>
      </c>
      <c r="E89" s="8" t="s">
        <v>42</v>
      </c>
      <c r="F89" s="7"/>
    </row>
    <row r="90" spans="1:6" x14ac:dyDescent="0.25">
      <c r="A90" s="8" t="s">
        <v>151</v>
      </c>
      <c r="B90" s="8" t="s">
        <v>41</v>
      </c>
      <c r="C90" s="8" t="s">
        <v>42</v>
      </c>
      <c r="D90" s="8" t="s">
        <v>41</v>
      </c>
      <c r="E90" s="8" t="s">
        <v>42</v>
      </c>
      <c r="F90" s="2"/>
    </row>
    <row r="91" spans="1:6" ht="45" x14ac:dyDescent="0.25">
      <c r="A91" s="3" t="s">
        <v>152</v>
      </c>
      <c r="B91" s="9" t="s">
        <v>392</v>
      </c>
      <c r="C91" s="3" t="s">
        <v>276</v>
      </c>
      <c r="D91" s="9" t="s">
        <v>500</v>
      </c>
      <c r="E91" s="3" t="s">
        <v>276</v>
      </c>
      <c r="F91" s="6"/>
    </row>
    <row r="92" spans="1:6" ht="36" x14ac:dyDescent="0.25">
      <c r="A92" s="3" t="s">
        <v>157</v>
      </c>
      <c r="B92" s="9" t="s">
        <v>396</v>
      </c>
      <c r="C92" s="3" t="s">
        <v>278</v>
      </c>
      <c r="D92" s="9" t="s">
        <v>501</v>
      </c>
      <c r="E92" s="3" t="s">
        <v>278</v>
      </c>
      <c r="F92" s="6"/>
    </row>
    <row r="93" spans="1:6" ht="36" x14ac:dyDescent="0.25">
      <c r="A93" s="3" t="s">
        <v>162</v>
      </c>
      <c r="B93" s="9" t="s">
        <v>400</v>
      </c>
      <c r="C93" s="3" t="s">
        <v>281</v>
      </c>
      <c r="D93" s="9" t="s">
        <v>502</v>
      </c>
      <c r="E93" s="3" t="s">
        <v>281</v>
      </c>
      <c r="F93" s="6"/>
    </row>
    <row r="94" spans="1:6" ht="27" x14ac:dyDescent="0.25">
      <c r="A94" s="3" t="s">
        <v>174</v>
      </c>
      <c r="B94" s="9" t="s">
        <v>407</v>
      </c>
      <c r="C94" s="3" t="s">
        <v>45</v>
      </c>
      <c r="D94" s="9" t="s">
        <v>287</v>
      </c>
      <c r="E94" s="3" t="s">
        <v>173</v>
      </c>
      <c r="F94" s="6"/>
    </row>
    <row r="95" spans="1:6" ht="18" x14ac:dyDescent="0.25">
      <c r="A95" s="3" t="s">
        <v>176</v>
      </c>
      <c r="B95" s="9" t="s">
        <v>112</v>
      </c>
      <c r="C95" s="3" t="s">
        <v>112</v>
      </c>
      <c r="D95" s="9" t="s">
        <v>247</v>
      </c>
      <c r="E95" s="3" t="s">
        <v>45</v>
      </c>
      <c r="F95" s="2"/>
    </row>
    <row r="96" spans="1:6" ht="45" x14ac:dyDescent="0.25">
      <c r="A96" s="3" t="s">
        <v>177</v>
      </c>
      <c r="B96" s="9" t="s">
        <v>411</v>
      </c>
      <c r="C96" s="3" t="s">
        <v>412</v>
      </c>
      <c r="D96" s="9" t="s">
        <v>288</v>
      </c>
      <c r="E96" s="3" t="s">
        <v>179</v>
      </c>
      <c r="F96" s="6"/>
    </row>
    <row r="97" spans="1:6" x14ac:dyDescent="0.25">
      <c r="A97" s="8" t="s">
        <v>180</v>
      </c>
      <c r="B97" s="8" t="s">
        <v>41</v>
      </c>
      <c r="C97" s="8" t="s">
        <v>42</v>
      </c>
      <c r="D97" s="8" t="s">
        <v>41</v>
      </c>
      <c r="E97" s="8" t="s">
        <v>42</v>
      </c>
      <c r="F97" s="6"/>
    </row>
    <row r="98" spans="1:6" ht="27" x14ac:dyDescent="0.25">
      <c r="A98" s="3" t="s">
        <v>185</v>
      </c>
      <c r="B98" s="9" t="s">
        <v>364</v>
      </c>
      <c r="C98" s="3" t="s">
        <v>45</v>
      </c>
      <c r="D98" s="9" t="s">
        <v>247</v>
      </c>
      <c r="E98" s="3" t="s">
        <v>45</v>
      </c>
      <c r="F98" s="2"/>
    </row>
    <row r="99" spans="1:6" ht="36" x14ac:dyDescent="0.25">
      <c r="A99" s="3" t="s">
        <v>189</v>
      </c>
      <c r="B99" s="9" t="s">
        <v>416</v>
      </c>
      <c r="C99" s="3" t="s">
        <v>191</v>
      </c>
      <c r="D99" s="9" t="s">
        <v>289</v>
      </c>
      <c r="E99" s="3" t="s">
        <v>191</v>
      </c>
      <c r="F99" s="6"/>
    </row>
    <row r="100" spans="1:6" ht="36" x14ac:dyDescent="0.25">
      <c r="A100" s="3" t="s">
        <v>192</v>
      </c>
      <c r="B100" s="9" t="s">
        <v>420</v>
      </c>
      <c r="C100" s="3" t="s">
        <v>235</v>
      </c>
      <c r="D100" s="9" t="s">
        <v>291</v>
      </c>
      <c r="E100" s="3" t="s">
        <v>193</v>
      </c>
      <c r="F100" s="6"/>
    </row>
    <row r="101" spans="1:6" x14ac:dyDescent="0.25">
      <c r="A101" s="8" t="s">
        <v>194</v>
      </c>
      <c r="B101" s="8" t="s">
        <v>41</v>
      </c>
      <c r="C101" s="8" t="s">
        <v>42</v>
      </c>
      <c r="D101" s="8" t="s">
        <v>41</v>
      </c>
      <c r="E101" s="8" t="s">
        <v>42</v>
      </c>
      <c r="F101" s="6"/>
    </row>
    <row r="102" spans="1:6" x14ac:dyDescent="0.25">
      <c r="A102" s="3" t="s">
        <v>195</v>
      </c>
      <c r="B102" s="9" t="s">
        <v>112</v>
      </c>
      <c r="C102" s="3" t="s">
        <v>112</v>
      </c>
      <c r="D102" s="9" t="s">
        <v>112</v>
      </c>
      <c r="E102" s="3" t="s">
        <v>112</v>
      </c>
      <c r="F102" s="2"/>
    </row>
    <row r="103" spans="1:6" ht="27" x14ac:dyDescent="0.25">
      <c r="A103" s="3" t="s">
        <v>202</v>
      </c>
      <c r="B103" s="9" t="s">
        <v>424</v>
      </c>
      <c r="C103" s="3" t="s">
        <v>425</v>
      </c>
      <c r="D103" s="9" t="s">
        <v>287</v>
      </c>
      <c r="E103" s="3" t="s">
        <v>203</v>
      </c>
      <c r="F103" s="6"/>
    </row>
    <row r="104" spans="1:6" ht="63" x14ac:dyDescent="0.25">
      <c r="A104" s="3" t="s">
        <v>204</v>
      </c>
      <c r="B104" s="9" t="s">
        <v>432</v>
      </c>
      <c r="C104" s="3" t="s">
        <v>296</v>
      </c>
      <c r="D104" s="9" t="s">
        <v>505</v>
      </c>
      <c r="E104" s="3" t="s">
        <v>296</v>
      </c>
      <c r="F10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7"/>
  <sheetViews>
    <sheetView workbookViewId="0"/>
  </sheetViews>
  <sheetFormatPr defaultColWidth="17.28515625" defaultRowHeight="15" x14ac:dyDescent="0.25"/>
  <sheetData>
    <row r="1" spans="1:8" ht="18" customHeight="1" x14ac:dyDescent="0.25">
      <c r="A1" s="1"/>
      <c r="B1" s="124" t="s">
        <v>506</v>
      </c>
      <c r="C1" s="125"/>
      <c r="D1" s="124" t="s">
        <v>507</v>
      </c>
      <c r="E1" s="125"/>
      <c r="F1" s="124" t="s">
        <v>508</v>
      </c>
      <c r="G1" s="126"/>
      <c r="H1" s="2"/>
    </row>
    <row r="2" spans="1:8" x14ac:dyDescent="0.25">
      <c r="A2" s="127" t="s">
        <v>22</v>
      </c>
      <c r="B2" s="122">
        <v>555.41999999999996</v>
      </c>
      <c r="C2" s="122"/>
      <c r="D2" s="133">
        <v>557.23</v>
      </c>
      <c r="E2" s="133"/>
      <c r="F2" s="122">
        <v>562.09</v>
      </c>
      <c r="G2" s="122"/>
      <c r="H2" s="2"/>
    </row>
    <row r="3" spans="1:8" ht="14.25" customHeight="1" x14ac:dyDescent="0.25">
      <c r="A3" s="96" t="s">
        <v>23</v>
      </c>
      <c r="B3" s="118">
        <v>1110.8399999999999</v>
      </c>
      <c r="C3" s="119"/>
      <c r="D3" s="120">
        <v>1114.47</v>
      </c>
      <c r="E3" s="121"/>
      <c r="F3" s="118">
        <v>1124.18</v>
      </c>
      <c r="G3" s="122"/>
      <c r="H3" s="2"/>
    </row>
    <row r="4" spans="1:8" x14ac:dyDescent="0.25">
      <c r="A4" s="96" t="s">
        <v>24</v>
      </c>
      <c r="B4" s="118">
        <v>944.22</v>
      </c>
      <c r="C4" s="119"/>
      <c r="D4" s="120">
        <v>947.3</v>
      </c>
      <c r="E4" s="121"/>
      <c r="F4" s="118">
        <v>955.56</v>
      </c>
      <c r="G4" s="122"/>
      <c r="H4" s="2"/>
    </row>
    <row r="5" spans="1:8" x14ac:dyDescent="0.25">
      <c r="A5" s="96" t="s">
        <v>25</v>
      </c>
      <c r="B5" s="118">
        <v>1582.95</v>
      </c>
      <c r="C5" s="119"/>
      <c r="D5" s="120">
        <v>1588.11</v>
      </c>
      <c r="E5" s="121"/>
      <c r="F5" s="118">
        <v>1601.96</v>
      </c>
      <c r="G5" s="122"/>
      <c r="H5" s="2"/>
    </row>
    <row r="6" spans="1:8" ht="63" customHeight="1" x14ac:dyDescent="0.25">
      <c r="A6" s="96" t="s">
        <v>43</v>
      </c>
      <c r="B6" s="81" t="s">
        <v>49</v>
      </c>
      <c r="C6" s="82" t="s">
        <v>173</v>
      </c>
      <c r="D6" s="81" t="s">
        <v>45</v>
      </c>
      <c r="E6" s="82" t="s">
        <v>31</v>
      </c>
      <c r="F6" s="81" t="s">
        <v>46</v>
      </c>
      <c r="G6" s="89" t="s">
        <v>31</v>
      </c>
      <c r="H6" s="7"/>
    </row>
    <row r="7" spans="1:8" ht="18" x14ac:dyDescent="0.25">
      <c r="A7" s="96" t="s">
        <v>47</v>
      </c>
      <c r="B7" s="81" t="s">
        <v>227</v>
      </c>
      <c r="C7" s="82" t="s">
        <v>173</v>
      </c>
      <c r="D7" s="81" t="s">
        <v>45</v>
      </c>
      <c r="E7" s="82" t="s">
        <v>31</v>
      </c>
      <c r="F7" s="81" t="s">
        <v>346</v>
      </c>
      <c r="G7" s="89" t="s">
        <v>31</v>
      </c>
      <c r="H7" s="7"/>
    </row>
    <row r="8" spans="1:8" x14ac:dyDescent="0.25">
      <c r="A8" s="96" t="s">
        <v>50</v>
      </c>
      <c r="B8" s="81" t="s">
        <v>512</v>
      </c>
      <c r="C8" s="82" t="s">
        <v>287</v>
      </c>
      <c r="D8" s="81" t="s">
        <v>51</v>
      </c>
      <c r="E8" s="82" t="s">
        <v>52</v>
      </c>
      <c r="F8" s="81" t="s">
        <v>53</v>
      </c>
      <c r="G8" s="89" t="s">
        <v>52</v>
      </c>
      <c r="H8" s="7"/>
    </row>
    <row r="9" spans="1:8" ht="18" x14ac:dyDescent="0.25">
      <c r="A9" s="128" t="s">
        <v>54</v>
      </c>
      <c r="B9" s="81" t="s">
        <v>513</v>
      </c>
      <c r="C9" s="116" t="s">
        <v>56</v>
      </c>
      <c r="D9" s="81" t="s">
        <v>515</v>
      </c>
      <c r="E9" s="116" t="s">
        <v>56</v>
      </c>
      <c r="F9" s="81" t="s">
        <v>513</v>
      </c>
      <c r="G9" s="135" t="s">
        <v>56</v>
      </c>
      <c r="H9" s="138"/>
    </row>
    <row r="10" spans="1:8" x14ac:dyDescent="0.25">
      <c r="A10" s="128"/>
      <c r="B10" s="81" t="s">
        <v>514</v>
      </c>
      <c r="C10" s="116"/>
      <c r="D10" s="81" t="s">
        <v>516</v>
      </c>
      <c r="E10" s="116"/>
      <c r="F10" s="81" t="s">
        <v>514</v>
      </c>
      <c r="G10" s="135"/>
      <c r="H10" s="138"/>
    </row>
    <row r="11" spans="1:8" ht="18" x14ac:dyDescent="0.25">
      <c r="A11" s="96" t="s">
        <v>60</v>
      </c>
      <c r="B11" s="81" t="s">
        <v>252</v>
      </c>
      <c r="C11" s="82" t="s">
        <v>62</v>
      </c>
      <c r="D11" s="81" t="s">
        <v>517</v>
      </c>
      <c r="E11" s="82" t="s">
        <v>62</v>
      </c>
      <c r="F11" s="81" t="s">
        <v>518</v>
      </c>
      <c r="G11" s="89" t="s">
        <v>62</v>
      </c>
      <c r="H11" s="7"/>
    </row>
    <row r="12" spans="1:8" ht="18" x14ac:dyDescent="0.25">
      <c r="A12" s="96" t="s">
        <v>69</v>
      </c>
      <c r="B12" s="81" t="s">
        <v>70</v>
      </c>
      <c r="C12" s="82" t="s">
        <v>173</v>
      </c>
      <c r="D12" s="81" t="s">
        <v>70</v>
      </c>
      <c r="E12" s="82" t="s">
        <v>31</v>
      </c>
      <c r="F12" s="81" t="s">
        <v>70</v>
      </c>
      <c r="G12" s="89" t="s">
        <v>31</v>
      </c>
      <c r="H12" s="7"/>
    </row>
    <row r="13" spans="1:8" ht="18" x14ac:dyDescent="0.25">
      <c r="A13" s="96" t="s">
        <v>75</v>
      </c>
      <c r="B13" s="81" t="s">
        <v>70</v>
      </c>
      <c r="C13" s="82" t="s">
        <v>173</v>
      </c>
      <c r="D13" s="81" t="s">
        <v>70</v>
      </c>
      <c r="E13" s="82" t="s">
        <v>31</v>
      </c>
      <c r="F13" s="81" t="s">
        <v>70</v>
      </c>
      <c r="G13" s="89" t="s">
        <v>31</v>
      </c>
      <c r="H13" s="7"/>
    </row>
    <row r="14" spans="1:8" ht="18" x14ac:dyDescent="0.25">
      <c r="A14" s="96" t="s">
        <v>76</v>
      </c>
      <c r="B14" s="81" t="s">
        <v>70</v>
      </c>
      <c r="C14" s="82" t="s">
        <v>173</v>
      </c>
      <c r="D14" s="81" t="s">
        <v>70</v>
      </c>
      <c r="E14" s="82" t="s">
        <v>31</v>
      </c>
      <c r="F14" s="81" t="s">
        <v>70</v>
      </c>
      <c r="G14" s="89" t="s">
        <v>31</v>
      </c>
      <c r="H14" s="7"/>
    </row>
    <row r="15" spans="1:8" ht="18" x14ac:dyDescent="0.25">
      <c r="A15" s="127" t="s">
        <v>83</v>
      </c>
      <c r="B15" s="83" t="s">
        <v>84</v>
      </c>
      <c r="C15" s="89" t="s">
        <v>173</v>
      </c>
      <c r="D15" s="83" t="s">
        <v>84</v>
      </c>
      <c r="E15" s="89" t="s">
        <v>31</v>
      </c>
      <c r="F15" s="83" t="s">
        <v>84</v>
      </c>
      <c r="G15" s="89" t="s">
        <v>31</v>
      </c>
      <c r="H15" s="7"/>
    </row>
    <row r="16" spans="1:8" ht="18" x14ac:dyDescent="0.25">
      <c r="A16" s="96" t="s">
        <v>85</v>
      </c>
      <c r="B16" s="81" t="s">
        <v>467</v>
      </c>
      <c r="C16" s="82" t="s">
        <v>173</v>
      </c>
      <c r="D16" s="81" t="s">
        <v>45</v>
      </c>
      <c r="E16" s="82" t="s">
        <v>31</v>
      </c>
      <c r="F16" s="81" t="s">
        <v>346</v>
      </c>
      <c r="G16" s="89" t="s">
        <v>31</v>
      </c>
      <c r="H16" s="7"/>
    </row>
    <row r="17" spans="1:8" ht="18" x14ac:dyDescent="0.25">
      <c r="A17" s="96" t="s">
        <v>94</v>
      </c>
      <c r="B17" s="81" t="s">
        <v>137</v>
      </c>
      <c r="C17" s="82" t="s">
        <v>173</v>
      </c>
      <c r="D17" s="81" t="s">
        <v>45</v>
      </c>
      <c r="E17" s="82" t="s">
        <v>31</v>
      </c>
      <c r="F17" s="81" t="s">
        <v>46</v>
      </c>
      <c r="G17" s="89" t="s">
        <v>31</v>
      </c>
      <c r="H17" s="7"/>
    </row>
    <row r="18" spans="1:8" ht="14.25" customHeight="1" x14ac:dyDescent="0.25">
      <c r="A18" s="96" t="s">
        <v>98</v>
      </c>
      <c r="B18" s="81" t="s">
        <v>101</v>
      </c>
      <c r="C18" s="82" t="s">
        <v>173</v>
      </c>
      <c r="D18" s="81" t="s">
        <v>45</v>
      </c>
      <c r="E18" s="82" t="s">
        <v>31</v>
      </c>
      <c r="F18" s="81" t="s">
        <v>99</v>
      </c>
      <c r="G18" s="89" t="s">
        <v>31</v>
      </c>
      <c r="H18" s="7"/>
    </row>
    <row r="19" spans="1:8" ht="27" customHeight="1" x14ac:dyDescent="0.25">
      <c r="A19" s="96" t="s">
        <v>100</v>
      </c>
      <c r="B19" s="81" t="s">
        <v>467</v>
      </c>
      <c r="C19" s="82" t="s">
        <v>173</v>
      </c>
      <c r="D19" s="81" t="s">
        <v>45</v>
      </c>
      <c r="E19" s="82" t="s">
        <v>31</v>
      </c>
      <c r="F19" s="81" t="s">
        <v>522</v>
      </c>
      <c r="G19" s="89" t="s">
        <v>31</v>
      </c>
      <c r="H19" s="7"/>
    </row>
    <row r="20" spans="1:8" ht="14.25" customHeight="1" x14ac:dyDescent="0.25">
      <c r="A20" s="96" t="s">
        <v>103</v>
      </c>
      <c r="B20" s="81" t="s">
        <v>104</v>
      </c>
      <c r="C20" s="82" t="s">
        <v>173</v>
      </c>
      <c r="D20" s="81" t="s">
        <v>104</v>
      </c>
      <c r="E20" s="82" t="s">
        <v>31</v>
      </c>
      <c r="F20" s="81" t="s">
        <v>104</v>
      </c>
      <c r="G20" s="89" t="s">
        <v>31</v>
      </c>
      <c r="H20" s="7"/>
    </row>
    <row r="21" spans="1:8" ht="54" x14ac:dyDescent="0.25">
      <c r="A21" s="96" t="s">
        <v>110</v>
      </c>
      <c r="B21" s="81" t="s">
        <v>111</v>
      </c>
      <c r="C21" s="82" t="s">
        <v>112</v>
      </c>
      <c r="D21" s="81" t="s">
        <v>113</v>
      </c>
      <c r="E21" s="82" t="s">
        <v>112</v>
      </c>
      <c r="F21" s="81" t="s">
        <v>113</v>
      </c>
      <c r="G21" s="89" t="s">
        <v>112</v>
      </c>
      <c r="H21" s="7"/>
    </row>
    <row r="22" spans="1:8" ht="72" customHeight="1" x14ac:dyDescent="0.25">
      <c r="A22" s="96" t="s">
        <v>131</v>
      </c>
      <c r="B22" s="81" t="s">
        <v>530</v>
      </c>
      <c r="C22" s="82" t="s">
        <v>530</v>
      </c>
      <c r="D22" s="81" t="s">
        <v>45</v>
      </c>
      <c r="E22" s="82" t="s">
        <v>45</v>
      </c>
      <c r="F22" s="81" t="s">
        <v>387</v>
      </c>
      <c r="G22" s="89" t="s">
        <v>387</v>
      </c>
      <c r="H22" s="7"/>
    </row>
    <row r="23" spans="1:8" ht="14.25" customHeight="1" x14ac:dyDescent="0.25">
      <c r="A23" s="127" t="s">
        <v>134</v>
      </c>
      <c r="B23" s="83" t="s">
        <v>227</v>
      </c>
      <c r="C23" s="89" t="s">
        <v>173</v>
      </c>
      <c r="D23" s="83" t="s">
        <v>45</v>
      </c>
      <c r="E23" s="89" t="s">
        <v>31</v>
      </c>
      <c r="F23" s="83" t="s">
        <v>346</v>
      </c>
      <c r="G23" s="89" t="s">
        <v>31</v>
      </c>
      <c r="H23" s="7"/>
    </row>
    <row r="24" spans="1:8" ht="18" x14ac:dyDescent="0.25">
      <c r="A24" s="96" t="s">
        <v>135</v>
      </c>
      <c r="B24" s="9" t="s">
        <v>530</v>
      </c>
      <c r="C24" s="3" t="s">
        <v>530</v>
      </c>
      <c r="D24" s="9" t="s">
        <v>45</v>
      </c>
      <c r="E24" s="3" t="s">
        <v>45</v>
      </c>
      <c r="F24" s="9" t="s">
        <v>387</v>
      </c>
      <c r="G24" s="3" t="s">
        <v>387</v>
      </c>
      <c r="H24" s="7"/>
    </row>
    <row r="25" spans="1:8" ht="18" x14ac:dyDescent="0.25">
      <c r="A25" s="96" t="s">
        <v>94</v>
      </c>
      <c r="B25" s="9" t="s">
        <v>137</v>
      </c>
      <c r="C25" s="3" t="s">
        <v>173</v>
      </c>
      <c r="D25" s="9" t="s">
        <v>45</v>
      </c>
      <c r="E25" s="3" t="s">
        <v>31</v>
      </c>
      <c r="F25" s="9" t="s">
        <v>140</v>
      </c>
      <c r="G25" s="3" t="s">
        <v>31</v>
      </c>
      <c r="H25" s="7"/>
    </row>
    <row r="26" spans="1:8" ht="18" x14ac:dyDescent="0.25">
      <c r="A26" s="96" t="s">
        <v>141</v>
      </c>
      <c r="B26" s="9" t="s">
        <v>523</v>
      </c>
      <c r="C26" s="3" t="s">
        <v>173</v>
      </c>
      <c r="D26" s="9" t="s">
        <v>45</v>
      </c>
      <c r="E26" s="3" t="s">
        <v>31</v>
      </c>
      <c r="F26" s="9" t="s">
        <v>531</v>
      </c>
      <c r="G26" s="3" t="s">
        <v>31</v>
      </c>
      <c r="H26" s="7"/>
    </row>
    <row r="27" spans="1:8" ht="18" x14ac:dyDescent="0.25">
      <c r="A27" s="96" t="s">
        <v>98</v>
      </c>
      <c r="B27" s="9" t="s">
        <v>137</v>
      </c>
      <c r="C27" s="3" t="s">
        <v>173</v>
      </c>
      <c r="D27" s="9" t="s">
        <v>45</v>
      </c>
      <c r="E27" s="3" t="s">
        <v>31</v>
      </c>
      <c r="F27" s="9" t="s">
        <v>140</v>
      </c>
      <c r="G27" s="3" t="s">
        <v>31</v>
      </c>
      <c r="H27" s="7"/>
    </row>
    <row r="28" spans="1:8" ht="39" customHeight="1" x14ac:dyDescent="0.25">
      <c r="A28" s="99" t="s">
        <v>143</v>
      </c>
      <c r="B28" s="11" t="s">
        <v>467</v>
      </c>
      <c r="C28" s="10" t="s">
        <v>173</v>
      </c>
      <c r="D28" s="11" t="s">
        <v>45</v>
      </c>
      <c r="E28" s="10" t="s">
        <v>31</v>
      </c>
      <c r="F28" s="11" t="s">
        <v>390</v>
      </c>
      <c r="G28" s="10" t="s">
        <v>31</v>
      </c>
      <c r="H28" s="86"/>
    </row>
    <row r="29" spans="1:8" ht="36" x14ac:dyDescent="0.25">
      <c r="A29" s="98" t="s">
        <v>145</v>
      </c>
      <c r="B29" s="12" t="s">
        <v>532</v>
      </c>
      <c r="C29" s="15" t="s">
        <v>527</v>
      </c>
      <c r="D29" s="12" t="s">
        <v>146</v>
      </c>
      <c r="E29" s="15" t="s">
        <v>120</v>
      </c>
      <c r="F29" s="12" t="s">
        <v>121</v>
      </c>
      <c r="G29" s="15" t="s">
        <v>120</v>
      </c>
      <c r="H29" s="86"/>
    </row>
    <row r="30" spans="1:8" ht="36" x14ac:dyDescent="0.25">
      <c r="A30" s="96" t="s">
        <v>147</v>
      </c>
      <c r="B30" s="9" t="s">
        <v>533</v>
      </c>
      <c r="C30" s="3" t="s">
        <v>173</v>
      </c>
      <c r="D30" s="9" t="s">
        <v>45</v>
      </c>
      <c r="E30" s="3" t="s">
        <v>31</v>
      </c>
      <c r="F30" s="9" t="s">
        <v>140</v>
      </c>
      <c r="G30" s="3" t="s">
        <v>31</v>
      </c>
      <c r="H30" s="7"/>
    </row>
    <row r="31" spans="1:8" ht="36" x14ac:dyDescent="0.25">
      <c r="A31" s="96" t="s">
        <v>149</v>
      </c>
      <c r="B31" s="9" t="s">
        <v>532</v>
      </c>
      <c r="C31" s="3" t="s">
        <v>527</v>
      </c>
      <c r="D31" s="9" t="s">
        <v>146</v>
      </c>
      <c r="E31" s="3" t="s">
        <v>120</v>
      </c>
      <c r="F31" s="9" t="s">
        <v>121</v>
      </c>
      <c r="G31" s="3" t="s">
        <v>120</v>
      </c>
      <c r="H31" s="7"/>
    </row>
    <row r="32" spans="1:8" ht="36" x14ac:dyDescent="0.25">
      <c r="A32" s="127" t="s">
        <v>150</v>
      </c>
      <c r="B32" s="83" t="s">
        <v>533</v>
      </c>
      <c r="C32" s="89" t="s">
        <v>173</v>
      </c>
      <c r="D32" s="83" t="s">
        <v>45</v>
      </c>
      <c r="E32" s="89" t="s">
        <v>31</v>
      </c>
      <c r="F32" s="83" t="s">
        <v>140</v>
      </c>
      <c r="G32" s="89" t="s">
        <v>31</v>
      </c>
      <c r="H32" s="7"/>
    </row>
    <row r="33" spans="1:8" ht="45" x14ac:dyDescent="0.25">
      <c r="A33" s="96" t="s">
        <v>167</v>
      </c>
      <c r="B33" s="9" t="s">
        <v>544</v>
      </c>
      <c r="C33" s="3" t="s">
        <v>405</v>
      </c>
      <c r="D33" s="9" t="s">
        <v>170</v>
      </c>
      <c r="E33" s="3" t="s">
        <v>169</v>
      </c>
      <c r="F33" s="9" t="s">
        <v>545</v>
      </c>
      <c r="G33" s="3" t="s">
        <v>169</v>
      </c>
      <c r="H33" s="7"/>
    </row>
    <row r="34" spans="1:8" ht="18" x14ac:dyDescent="0.25">
      <c r="A34" s="96" t="s">
        <v>172</v>
      </c>
      <c r="B34" s="9" t="s">
        <v>173</v>
      </c>
      <c r="C34" s="3" t="s">
        <v>173</v>
      </c>
      <c r="D34" s="9" t="s">
        <v>173</v>
      </c>
      <c r="E34" s="3" t="s">
        <v>173</v>
      </c>
      <c r="F34" s="9" t="s">
        <v>173</v>
      </c>
      <c r="G34" s="3" t="s">
        <v>173</v>
      </c>
      <c r="H34" s="7"/>
    </row>
    <row r="35" spans="1:8" ht="18" x14ac:dyDescent="0.25">
      <c r="A35" s="96" t="s">
        <v>175</v>
      </c>
      <c r="B35" s="9" t="s">
        <v>137</v>
      </c>
      <c r="C35" s="3" t="s">
        <v>173</v>
      </c>
      <c r="D35" s="9" t="s">
        <v>45</v>
      </c>
      <c r="E35" s="3" t="s">
        <v>31</v>
      </c>
      <c r="F35" s="9" t="s">
        <v>46</v>
      </c>
      <c r="G35" s="3" t="s">
        <v>31</v>
      </c>
      <c r="H35" s="7"/>
    </row>
    <row r="36" spans="1:8" ht="27" x14ac:dyDescent="0.25">
      <c r="A36" s="96" t="s">
        <v>181</v>
      </c>
      <c r="B36" s="9" t="s">
        <v>184</v>
      </c>
      <c r="C36" s="3" t="s">
        <v>418</v>
      </c>
      <c r="D36" s="9" t="s">
        <v>184</v>
      </c>
      <c r="E36" s="3" t="s">
        <v>183</v>
      </c>
      <c r="F36" s="9" t="s">
        <v>184</v>
      </c>
      <c r="G36" s="3" t="s">
        <v>183</v>
      </c>
      <c r="H36" s="7"/>
    </row>
    <row r="37" spans="1:8" ht="18" x14ac:dyDescent="0.25">
      <c r="A37" s="128" t="s">
        <v>186</v>
      </c>
      <c r="B37" s="9" t="s">
        <v>187</v>
      </c>
      <c r="C37" s="3" t="s">
        <v>187</v>
      </c>
      <c r="D37" s="9" t="s">
        <v>187</v>
      </c>
      <c r="E37" s="3" t="s">
        <v>187</v>
      </c>
      <c r="F37" s="9" t="s">
        <v>187</v>
      </c>
      <c r="G37" s="3" t="s">
        <v>187</v>
      </c>
      <c r="H37" s="138"/>
    </row>
    <row r="38" spans="1:8" x14ac:dyDescent="0.25">
      <c r="A38" s="128"/>
      <c r="B38" s="9" t="s">
        <v>188</v>
      </c>
      <c r="C38" s="3" t="s">
        <v>188</v>
      </c>
      <c r="D38" s="9" t="s">
        <v>188</v>
      </c>
      <c r="E38" s="3" t="s">
        <v>188</v>
      </c>
      <c r="F38" s="9" t="s">
        <v>188</v>
      </c>
      <c r="G38" s="3" t="s">
        <v>188</v>
      </c>
      <c r="H38" s="138"/>
    </row>
    <row r="39" spans="1:8" ht="81" x14ac:dyDescent="0.25">
      <c r="A39" s="128" t="s">
        <v>196</v>
      </c>
      <c r="B39" s="132" t="s">
        <v>197</v>
      </c>
      <c r="C39" s="3" t="s">
        <v>198</v>
      </c>
      <c r="D39" s="132" t="s">
        <v>200</v>
      </c>
      <c r="E39" s="134" t="s">
        <v>201</v>
      </c>
      <c r="F39" s="132" t="s">
        <v>200</v>
      </c>
      <c r="G39" s="134" t="s">
        <v>201</v>
      </c>
      <c r="H39" s="138"/>
    </row>
    <row r="40" spans="1:8" ht="27" x14ac:dyDescent="0.25">
      <c r="A40" s="128"/>
      <c r="B40" s="132"/>
      <c r="C40" s="3" t="s">
        <v>199</v>
      </c>
      <c r="D40" s="132"/>
      <c r="E40" s="134"/>
      <c r="F40" s="132"/>
      <c r="G40" s="134"/>
      <c r="H40" s="138"/>
    </row>
    <row r="41" spans="1:8" x14ac:dyDescent="0.25">
      <c r="A41" s="129" t="s">
        <v>3</v>
      </c>
      <c r="B41" s="129"/>
      <c r="C41" s="129"/>
      <c r="D41" s="129"/>
      <c r="E41" s="129"/>
      <c r="F41" s="129"/>
      <c r="G41" s="129"/>
      <c r="H41" s="2"/>
    </row>
    <row r="42" spans="1:8" ht="18" x14ac:dyDescent="0.25">
      <c r="A42" s="3" t="s">
        <v>4</v>
      </c>
      <c r="B42" s="132" t="s">
        <v>509</v>
      </c>
      <c r="C42" s="132"/>
      <c r="D42" s="134" t="s">
        <v>510</v>
      </c>
      <c r="E42" s="134"/>
      <c r="F42" s="132" t="s">
        <v>511</v>
      </c>
      <c r="G42" s="132"/>
      <c r="H42" s="2"/>
    </row>
    <row r="43" spans="1:8" x14ac:dyDescent="0.25">
      <c r="A43" s="3" t="s">
        <v>5</v>
      </c>
      <c r="B43" s="132" t="s">
        <v>506</v>
      </c>
      <c r="C43" s="132"/>
      <c r="D43" s="134" t="s">
        <v>507</v>
      </c>
      <c r="E43" s="134"/>
      <c r="F43" s="132" t="s">
        <v>508</v>
      </c>
      <c r="G43" s="132"/>
      <c r="H43" s="2"/>
    </row>
    <row r="44" spans="1:8" x14ac:dyDescent="0.25">
      <c r="A44" s="3" t="s">
        <v>6</v>
      </c>
      <c r="B44" s="132" t="s">
        <v>7</v>
      </c>
      <c r="C44" s="132"/>
      <c r="D44" s="134" t="s">
        <v>8</v>
      </c>
      <c r="E44" s="134"/>
      <c r="F44" s="132" t="s">
        <v>8</v>
      </c>
      <c r="G44" s="132"/>
      <c r="H44" s="2"/>
    </row>
    <row r="45" spans="1:8" ht="72" x14ac:dyDescent="0.25">
      <c r="A45" s="3" t="s">
        <v>9</v>
      </c>
      <c r="B45" s="132" t="s">
        <v>209</v>
      </c>
      <c r="C45" s="132"/>
      <c r="D45" s="134" t="s">
        <v>11</v>
      </c>
      <c r="E45" s="134"/>
      <c r="F45" s="132" t="s">
        <v>11</v>
      </c>
      <c r="G45" s="132"/>
      <c r="H45" s="4"/>
    </row>
    <row r="46" spans="1:8" x14ac:dyDescent="0.25">
      <c r="A46" s="3" t="s">
        <v>12</v>
      </c>
      <c r="B46" s="132" t="s">
        <v>13</v>
      </c>
      <c r="C46" s="132"/>
      <c r="D46" s="134" t="s">
        <v>14</v>
      </c>
      <c r="E46" s="134"/>
      <c r="F46" s="132" t="s">
        <v>14</v>
      </c>
      <c r="G46" s="132"/>
      <c r="H46" s="2"/>
    </row>
    <row r="47" spans="1:8" x14ac:dyDescent="0.25">
      <c r="A47" s="10" t="s">
        <v>15</v>
      </c>
      <c r="B47" s="106" t="s">
        <v>16</v>
      </c>
      <c r="C47" s="106"/>
      <c r="D47" s="108" t="s">
        <v>17</v>
      </c>
      <c r="E47" s="108"/>
      <c r="F47" s="106" t="s">
        <v>17</v>
      </c>
      <c r="G47" s="106"/>
      <c r="H47" s="2"/>
    </row>
    <row r="48" spans="1:8" x14ac:dyDescent="0.25">
      <c r="A48" s="3" t="s">
        <v>18</v>
      </c>
      <c r="B48" s="132" t="s">
        <v>19</v>
      </c>
      <c r="C48" s="132"/>
      <c r="D48" s="134" t="s">
        <v>19</v>
      </c>
      <c r="E48" s="134"/>
      <c r="F48" s="132" t="s">
        <v>19</v>
      </c>
      <c r="G48" s="132"/>
      <c r="H48" s="2"/>
    </row>
    <row r="49" spans="1:8" x14ac:dyDescent="0.25">
      <c r="A49" s="5" t="s">
        <v>20</v>
      </c>
      <c r="B49" s="129" t="s">
        <v>21</v>
      </c>
      <c r="C49" s="129"/>
      <c r="D49" s="129" t="s">
        <v>21</v>
      </c>
      <c r="E49" s="129"/>
      <c r="F49" s="129" t="s">
        <v>21</v>
      </c>
      <c r="G49" s="129"/>
      <c r="H49" s="2"/>
    </row>
    <row r="50" spans="1:8" x14ac:dyDescent="0.25">
      <c r="A50" s="129" t="s">
        <v>26</v>
      </c>
      <c r="B50" s="129"/>
      <c r="C50" s="129"/>
      <c r="D50" s="129"/>
      <c r="E50" s="129"/>
      <c r="F50" s="129"/>
      <c r="G50" s="129"/>
      <c r="H50" s="2"/>
    </row>
    <row r="51" spans="1:8" ht="18" x14ac:dyDescent="0.25">
      <c r="A51" s="3" t="s">
        <v>27</v>
      </c>
      <c r="B51" s="132" t="s">
        <v>28</v>
      </c>
      <c r="C51" s="132"/>
      <c r="D51" s="134" t="s">
        <v>28</v>
      </c>
      <c r="E51" s="134"/>
      <c r="F51" s="132" t="s">
        <v>28</v>
      </c>
      <c r="G51" s="132"/>
      <c r="H51" s="6"/>
    </row>
    <row r="52" spans="1:8" x14ac:dyDescent="0.25">
      <c r="A52" s="3" t="s">
        <v>29</v>
      </c>
      <c r="B52" s="132" t="s">
        <v>28</v>
      </c>
      <c r="C52" s="132"/>
      <c r="D52" s="134" t="s">
        <v>28</v>
      </c>
      <c r="E52" s="134"/>
      <c r="F52" s="132" t="s">
        <v>28</v>
      </c>
      <c r="G52" s="132"/>
      <c r="H52" s="2"/>
    </row>
    <row r="53" spans="1:8" ht="18" x14ac:dyDescent="0.25">
      <c r="A53" s="3" t="s">
        <v>30</v>
      </c>
      <c r="B53" s="132" t="s">
        <v>173</v>
      </c>
      <c r="C53" s="132"/>
      <c r="D53" s="134" t="s">
        <v>31</v>
      </c>
      <c r="E53" s="134"/>
      <c r="F53" s="132" t="s">
        <v>31</v>
      </c>
      <c r="G53" s="132"/>
      <c r="H53" s="2"/>
    </row>
    <row r="54" spans="1:8" ht="27" x14ac:dyDescent="0.25">
      <c r="A54" s="3" t="s">
        <v>32</v>
      </c>
      <c r="B54" s="132" t="s">
        <v>33</v>
      </c>
      <c r="C54" s="132"/>
      <c r="D54" s="134" t="s">
        <v>33</v>
      </c>
      <c r="E54" s="134"/>
      <c r="F54" s="132" t="s">
        <v>33</v>
      </c>
      <c r="G54" s="132"/>
      <c r="H54" s="2"/>
    </row>
    <row r="55" spans="1:8" ht="18" x14ac:dyDescent="0.25">
      <c r="A55" s="3" t="s">
        <v>34</v>
      </c>
      <c r="B55" s="132" t="s">
        <v>35</v>
      </c>
      <c r="C55" s="132"/>
      <c r="D55" s="134" t="s">
        <v>35</v>
      </c>
      <c r="E55" s="134"/>
      <c r="F55" s="132" t="s">
        <v>35</v>
      </c>
      <c r="G55" s="132"/>
      <c r="H55" s="6"/>
    </row>
    <row r="56" spans="1:8" x14ac:dyDescent="0.25">
      <c r="A56" s="3" t="s">
        <v>36</v>
      </c>
      <c r="B56" s="132" t="s">
        <v>37</v>
      </c>
      <c r="C56" s="132"/>
      <c r="D56" s="134" t="s">
        <v>37</v>
      </c>
      <c r="E56" s="134"/>
      <c r="F56" s="132" t="s">
        <v>37</v>
      </c>
      <c r="G56" s="132"/>
      <c r="H56" s="2"/>
    </row>
    <row r="57" spans="1:8" ht="81" x14ac:dyDescent="0.25">
      <c r="A57" s="3" t="s">
        <v>38</v>
      </c>
      <c r="B57" s="132" t="s">
        <v>39</v>
      </c>
      <c r="C57" s="132"/>
      <c r="D57" s="134" t="s">
        <v>39</v>
      </c>
      <c r="E57" s="134"/>
      <c r="F57" s="132" t="s">
        <v>39</v>
      </c>
      <c r="G57" s="132"/>
      <c r="H57" s="4"/>
    </row>
    <row r="58" spans="1:8" ht="18" x14ac:dyDescent="0.25">
      <c r="A58" s="129" t="s">
        <v>40</v>
      </c>
      <c r="B58" s="129"/>
      <c r="C58" s="129"/>
      <c r="D58" s="129"/>
      <c r="E58" s="129"/>
      <c r="F58" s="129"/>
      <c r="G58" s="129"/>
      <c r="H58" s="7"/>
    </row>
    <row r="59" spans="1:8" ht="18" x14ac:dyDescent="0.25">
      <c r="A59" s="8" t="s">
        <v>40</v>
      </c>
      <c r="B59" s="8" t="s">
        <v>41</v>
      </c>
      <c r="C59" s="8" t="s">
        <v>42</v>
      </c>
      <c r="D59" s="8" t="s">
        <v>41</v>
      </c>
      <c r="E59" s="8" t="s">
        <v>42</v>
      </c>
      <c r="F59" s="8" t="s">
        <v>41</v>
      </c>
      <c r="G59" s="8" t="s">
        <v>42</v>
      </c>
      <c r="H59" s="7"/>
    </row>
    <row r="60" spans="1:8" x14ac:dyDescent="0.25">
      <c r="A60" s="3" t="s">
        <v>65</v>
      </c>
      <c r="B60" s="9" t="s">
        <v>66</v>
      </c>
      <c r="C60" s="3" t="s">
        <v>66</v>
      </c>
      <c r="D60" s="9" t="s">
        <v>66</v>
      </c>
      <c r="E60" s="3" t="s">
        <v>66</v>
      </c>
      <c r="F60" s="9" t="s">
        <v>66</v>
      </c>
      <c r="G60" s="3" t="s">
        <v>66</v>
      </c>
      <c r="H60" s="7"/>
    </row>
    <row r="61" spans="1:8" x14ac:dyDescent="0.25">
      <c r="A61" s="129" t="s">
        <v>67</v>
      </c>
      <c r="B61" s="129"/>
      <c r="C61" s="129"/>
      <c r="D61" s="129"/>
      <c r="E61" s="129"/>
      <c r="F61" s="129"/>
      <c r="G61" s="129"/>
      <c r="H61" s="7"/>
    </row>
    <row r="62" spans="1:8" ht="18" x14ac:dyDescent="0.25">
      <c r="A62" s="8" t="s">
        <v>68</v>
      </c>
      <c r="B62" s="8" t="s">
        <v>41</v>
      </c>
      <c r="C62" s="8" t="s">
        <v>42</v>
      </c>
      <c r="D62" s="8" t="s">
        <v>41</v>
      </c>
      <c r="E62" s="8" t="s">
        <v>42</v>
      </c>
      <c r="F62" s="8" t="s">
        <v>41</v>
      </c>
      <c r="G62" s="8" t="s">
        <v>42</v>
      </c>
      <c r="H62" s="7"/>
    </row>
    <row r="63" spans="1:8" ht="18" x14ac:dyDescent="0.25">
      <c r="A63" s="3" t="s">
        <v>71</v>
      </c>
      <c r="B63" s="9" t="s">
        <v>70</v>
      </c>
      <c r="C63" s="3" t="s">
        <v>173</v>
      </c>
      <c r="D63" s="9" t="s">
        <v>70</v>
      </c>
      <c r="E63" s="3" t="s">
        <v>31</v>
      </c>
      <c r="F63" s="9" t="s">
        <v>70</v>
      </c>
      <c r="G63" s="3" t="s">
        <v>31</v>
      </c>
      <c r="H63" s="7"/>
    </row>
    <row r="64" spans="1:8" ht="18" x14ac:dyDescent="0.25">
      <c r="A64" s="3" t="s">
        <v>72</v>
      </c>
      <c r="B64" s="9" t="s">
        <v>70</v>
      </c>
      <c r="C64" s="3" t="s">
        <v>173</v>
      </c>
      <c r="D64" s="9" t="s">
        <v>70</v>
      </c>
      <c r="E64" s="3" t="s">
        <v>31</v>
      </c>
      <c r="F64" s="9" t="s">
        <v>70</v>
      </c>
      <c r="G64" s="3" t="s">
        <v>31</v>
      </c>
      <c r="H64" s="7"/>
    </row>
    <row r="65" spans="1:8" ht="18" x14ac:dyDescent="0.25">
      <c r="A65" s="3" t="s">
        <v>73</v>
      </c>
      <c r="B65" s="9" t="s">
        <v>70</v>
      </c>
      <c r="C65" s="3" t="s">
        <v>173</v>
      </c>
      <c r="D65" s="9" t="s">
        <v>70</v>
      </c>
      <c r="E65" s="3" t="s">
        <v>31</v>
      </c>
      <c r="F65" s="9" t="s">
        <v>70</v>
      </c>
      <c r="G65" s="3" t="s">
        <v>31</v>
      </c>
      <c r="H65" s="7"/>
    </row>
    <row r="66" spans="1:8" ht="18" x14ac:dyDescent="0.25">
      <c r="A66" s="3" t="s">
        <v>74</v>
      </c>
      <c r="B66" s="9" t="s">
        <v>70</v>
      </c>
      <c r="C66" s="3" t="s">
        <v>173</v>
      </c>
      <c r="D66" s="9" t="s">
        <v>70</v>
      </c>
      <c r="E66" s="3" t="s">
        <v>31</v>
      </c>
      <c r="F66" s="9" t="s">
        <v>70</v>
      </c>
      <c r="G66" s="3" t="s">
        <v>31</v>
      </c>
      <c r="H66" s="7"/>
    </row>
    <row r="67" spans="1:8" ht="18" x14ac:dyDescent="0.25">
      <c r="A67" s="3" t="s">
        <v>77</v>
      </c>
      <c r="B67" s="9" t="s">
        <v>78</v>
      </c>
      <c r="C67" s="3" t="s">
        <v>173</v>
      </c>
      <c r="D67" s="9" t="s">
        <v>78</v>
      </c>
      <c r="E67" s="3" t="s">
        <v>31</v>
      </c>
      <c r="F67" s="9" t="s">
        <v>78</v>
      </c>
      <c r="G67" s="3" t="s">
        <v>31</v>
      </c>
      <c r="H67" s="7"/>
    </row>
    <row r="68" spans="1:8" ht="18" x14ac:dyDescent="0.25">
      <c r="A68" s="3" t="s">
        <v>79</v>
      </c>
      <c r="B68" s="9" t="s">
        <v>70</v>
      </c>
      <c r="C68" s="3" t="s">
        <v>173</v>
      </c>
      <c r="D68" s="9" t="s">
        <v>70</v>
      </c>
      <c r="E68" s="3" t="s">
        <v>31</v>
      </c>
      <c r="F68" s="9" t="s">
        <v>70</v>
      </c>
      <c r="G68" s="3" t="s">
        <v>31</v>
      </c>
      <c r="H68" s="7"/>
    </row>
    <row r="69" spans="1:8" ht="18" x14ac:dyDescent="0.25">
      <c r="A69" s="8" t="s">
        <v>80</v>
      </c>
      <c r="B69" s="8" t="s">
        <v>41</v>
      </c>
      <c r="C69" s="8" t="s">
        <v>42</v>
      </c>
      <c r="D69" s="8" t="s">
        <v>41</v>
      </c>
      <c r="E69" s="8" t="s">
        <v>42</v>
      </c>
      <c r="F69" s="8" t="s">
        <v>41</v>
      </c>
      <c r="G69" s="8" t="s">
        <v>42</v>
      </c>
      <c r="H69" s="7"/>
    </row>
    <row r="70" spans="1:8" ht="27" x14ac:dyDescent="0.25">
      <c r="A70" s="3" t="s">
        <v>81</v>
      </c>
      <c r="B70" s="9" t="s">
        <v>452</v>
      </c>
      <c r="C70" s="3" t="s">
        <v>173</v>
      </c>
      <c r="D70" s="9" t="s">
        <v>45</v>
      </c>
      <c r="E70" s="3" t="s">
        <v>31</v>
      </c>
      <c r="F70" s="9" t="s">
        <v>519</v>
      </c>
      <c r="G70" s="3" t="s">
        <v>31</v>
      </c>
      <c r="H70" s="7"/>
    </row>
    <row r="71" spans="1:8" ht="18" x14ac:dyDescent="0.25">
      <c r="A71" s="3" t="s">
        <v>86</v>
      </c>
      <c r="B71" s="9" t="s">
        <v>90</v>
      </c>
      <c r="C71" s="3" t="s">
        <v>520</v>
      </c>
      <c r="D71" s="9" t="s">
        <v>89</v>
      </c>
      <c r="E71" s="3" t="s">
        <v>88</v>
      </c>
      <c r="F71" s="9" t="s">
        <v>90</v>
      </c>
      <c r="G71" s="3" t="s">
        <v>88</v>
      </c>
      <c r="H71" s="7"/>
    </row>
    <row r="72" spans="1:8" x14ac:dyDescent="0.25">
      <c r="A72" s="3" t="s">
        <v>91</v>
      </c>
      <c r="B72" s="9" t="s">
        <v>93</v>
      </c>
      <c r="C72" s="3" t="s">
        <v>92</v>
      </c>
      <c r="D72" s="9" t="s">
        <v>92</v>
      </c>
      <c r="E72" s="3" t="s">
        <v>92</v>
      </c>
      <c r="F72" s="9" t="s">
        <v>93</v>
      </c>
      <c r="G72" s="3" t="s">
        <v>92</v>
      </c>
      <c r="H72" s="7"/>
    </row>
    <row r="73" spans="1:8" ht="27" x14ac:dyDescent="0.25">
      <c r="A73" s="3" t="s">
        <v>95</v>
      </c>
      <c r="B73" s="9" t="s">
        <v>452</v>
      </c>
      <c r="C73" s="3" t="s">
        <v>173</v>
      </c>
      <c r="D73" s="9" t="s">
        <v>45</v>
      </c>
      <c r="E73" s="3" t="s">
        <v>31</v>
      </c>
      <c r="F73" s="9" t="s">
        <v>521</v>
      </c>
      <c r="G73" s="3" t="s">
        <v>31</v>
      </c>
      <c r="H73" s="7"/>
    </row>
    <row r="74" spans="1:8" ht="27" x14ac:dyDescent="0.25">
      <c r="A74" s="3" t="s">
        <v>97</v>
      </c>
      <c r="B74" s="9" t="s">
        <v>452</v>
      </c>
      <c r="C74" s="3" t="s">
        <v>173</v>
      </c>
      <c r="D74" s="9" t="s">
        <v>45</v>
      </c>
      <c r="E74" s="3" t="s">
        <v>31</v>
      </c>
      <c r="F74" s="9" t="s">
        <v>521</v>
      </c>
      <c r="G74" s="3" t="s">
        <v>31</v>
      </c>
      <c r="H74" s="7"/>
    </row>
    <row r="75" spans="1:8" x14ac:dyDescent="0.25">
      <c r="A75" s="8" t="s">
        <v>102</v>
      </c>
      <c r="B75" s="8" t="s">
        <v>41</v>
      </c>
      <c r="C75" s="8" t="s">
        <v>42</v>
      </c>
      <c r="D75" s="8" t="s">
        <v>41</v>
      </c>
      <c r="E75" s="8" t="s">
        <v>42</v>
      </c>
      <c r="F75" s="8" t="s">
        <v>41</v>
      </c>
      <c r="G75" s="8" t="s">
        <v>42</v>
      </c>
      <c r="H75" s="7"/>
    </row>
    <row r="76" spans="1:8" ht="27" x14ac:dyDescent="0.25">
      <c r="A76" s="3" t="s">
        <v>105</v>
      </c>
      <c r="B76" s="9" t="s">
        <v>523</v>
      </c>
      <c r="C76" s="3" t="s">
        <v>524</v>
      </c>
      <c r="D76" s="9" t="s">
        <v>45</v>
      </c>
      <c r="E76" s="3" t="s">
        <v>31</v>
      </c>
      <c r="F76" s="9" t="s">
        <v>106</v>
      </c>
      <c r="G76" s="3" t="s">
        <v>107</v>
      </c>
      <c r="H76" s="7"/>
    </row>
    <row r="77" spans="1:8" ht="27" x14ac:dyDescent="0.25">
      <c r="A77" s="3" t="s">
        <v>108</v>
      </c>
      <c r="B77" s="9" t="s">
        <v>84</v>
      </c>
      <c r="C77" s="3" t="s">
        <v>525</v>
      </c>
      <c r="D77" s="9" t="s">
        <v>45</v>
      </c>
      <c r="E77" s="3" t="s">
        <v>31</v>
      </c>
      <c r="F77" s="9" t="s">
        <v>84</v>
      </c>
      <c r="G77" s="3" t="s">
        <v>107</v>
      </c>
      <c r="H77" s="7"/>
    </row>
    <row r="78" spans="1:8" x14ac:dyDescent="0.25">
      <c r="A78" s="8" t="s">
        <v>109</v>
      </c>
      <c r="B78" s="8" t="s">
        <v>41</v>
      </c>
      <c r="C78" s="8" t="s">
        <v>42</v>
      </c>
      <c r="D78" s="8" t="s">
        <v>41</v>
      </c>
      <c r="E78" s="8" t="s">
        <v>42</v>
      </c>
      <c r="F78" s="8" t="s">
        <v>41</v>
      </c>
      <c r="G78" s="8" t="s">
        <v>42</v>
      </c>
      <c r="H78" s="7"/>
    </row>
    <row r="79" spans="1:8" ht="27" x14ac:dyDescent="0.25">
      <c r="A79" s="3" t="s">
        <v>114</v>
      </c>
      <c r="B79" s="9" t="s">
        <v>461</v>
      </c>
      <c r="C79" s="3" t="s">
        <v>173</v>
      </c>
      <c r="D79" s="9" t="s">
        <v>45</v>
      </c>
      <c r="E79" s="3" t="s">
        <v>31</v>
      </c>
      <c r="F79" s="9" t="s">
        <v>116</v>
      </c>
      <c r="G79" s="3" t="s">
        <v>31</v>
      </c>
      <c r="H79" s="7"/>
    </row>
    <row r="80" spans="1:8" ht="18" x14ac:dyDescent="0.25">
      <c r="A80" s="8" t="s">
        <v>117</v>
      </c>
      <c r="B80" s="8" t="s">
        <v>41</v>
      </c>
      <c r="C80" s="8" t="s">
        <v>42</v>
      </c>
      <c r="D80" s="8" t="s">
        <v>41</v>
      </c>
      <c r="E80" s="8" t="s">
        <v>42</v>
      </c>
      <c r="F80" s="8" t="s">
        <v>41</v>
      </c>
      <c r="G80" s="8" t="s">
        <v>42</v>
      </c>
      <c r="H80" s="7"/>
    </row>
    <row r="81" spans="1:8" ht="36" x14ac:dyDescent="0.25">
      <c r="A81" s="3" t="s">
        <v>118</v>
      </c>
      <c r="B81" s="9" t="s">
        <v>526</v>
      </c>
      <c r="C81" s="3" t="s">
        <v>527</v>
      </c>
      <c r="D81" s="9" t="s">
        <v>119</v>
      </c>
      <c r="E81" s="3" t="s">
        <v>120</v>
      </c>
      <c r="F81" s="9" t="s">
        <v>121</v>
      </c>
      <c r="G81" s="3" t="s">
        <v>120</v>
      </c>
      <c r="H81" s="7"/>
    </row>
    <row r="82" spans="1:8" ht="18" x14ac:dyDescent="0.25">
      <c r="A82" s="3" t="s">
        <v>122</v>
      </c>
      <c r="B82" s="9" t="s">
        <v>523</v>
      </c>
      <c r="C82" s="3" t="s">
        <v>173</v>
      </c>
      <c r="D82" s="9" t="s">
        <v>45</v>
      </c>
      <c r="E82" s="3" t="s">
        <v>31</v>
      </c>
      <c r="F82" s="9" t="s">
        <v>84</v>
      </c>
      <c r="G82" s="3" t="s">
        <v>31</v>
      </c>
      <c r="H82" s="7"/>
    </row>
    <row r="83" spans="1:8" ht="36" x14ac:dyDescent="0.25">
      <c r="A83" s="3" t="s">
        <v>123</v>
      </c>
      <c r="B83" s="9" t="s">
        <v>528</v>
      </c>
      <c r="C83" s="3" t="s">
        <v>529</v>
      </c>
      <c r="D83" s="9" t="s">
        <v>124</v>
      </c>
      <c r="E83" s="3" t="s">
        <v>125</v>
      </c>
      <c r="F83" s="9" t="s">
        <v>126</v>
      </c>
      <c r="G83" s="3" t="s">
        <v>127</v>
      </c>
      <c r="H83" s="7"/>
    </row>
    <row r="84" spans="1:8" ht="18" x14ac:dyDescent="0.25">
      <c r="A84" s="3" t="s">
        <v>128</v>
      </c>
      <c r="B84" s="9" t="s">
        <v>523</v>
      </c>
      <c r="C84" s="3" t="s">
        <v>173</v>
      </c>
      <c r="D84" s="9" t="s">
        <v>45</v>
      </c>
      <c r="E84" s="3" t="s">
        <v>31</v>
      </c>
      <c r="F84" s="9" t="s">
        <v>84</v>
      </c>
      <c r="G84" s="3" t="s">
        <v>31</v>
      </c>
      <c r="H84" s="7"/>
    </row>
    <row r="85" spans="1:8" ht="18" x14ac:dyDescent="0.25">
      <c r="A85" s="3" t="s">
        <v>129</v>
      </c>
      <c r="B85" s="9" t="s">
        <v>523</v>
      </c>
      <c r="C85" s="3" t="s">
        <v>173</v>
      </c>
      <c r="D85" s="9" t="s">
        <v>45</v>
      </c>
      <c r="E85" s="3" t="s">
        <v>31</v>
      </c>
      <c r="F85" s="9" t="s">
        <v>84</v>
      </c>
      <c r="G85" s="3" t="s">
        <v>31</v>
      </c>
      <c r="H85" s="7"/>
    </row>
    <row r="86" spans="1:8" x14ac:dyDescent="0.25">
      <c r="A86" s="130" t="s">
        <v>130</v>
      </c>
      <c r="B86" s="130" t="s">
        <v>41</v>
      </c>
      <c r="C86" s="130" t="s">
        <v>42</v>
      </c>
      <c r="D86" s="130" t="s">
        <v>41</v>
      </c>
      <c r="E86" s="130" t="s">
        <v>42</v>
      </c>
      <c r="F86" s="130" t="s">
        <v>41</v>
      </c>
      <c r="G86" s="130" t="s">
        <v>42</v>
      </c>
      <c r="H86" s="7"/>
    </row>
    <row r="87" spans="1:8" ht="18" x14ac:dyDescent="0.25">
      <c r="A87" s="8" t="s">
        <v>136</v>
      </c>
      <c r="B87" s="8" t="s">
        <v>41</v>
      </c>
      <c r="C87" s="8" t="s">
        <v>42</v>
      </c>
      <c r="D87" s="8" t="s">
        <v>41</v>
      </c>
      <c r="E87" s="8" t="s">
        <v>42</v>
      </c>
      <c r="F87" s="8" t="s">
        <v>41</v>
      </c>
      <c r="G87" s="8" t="s">
        <v>42</v>
      </c>
      <c r="H87" s="7"/>
    </row>
    <row r="88" spans="1:8" ht="18" x14ac:dyDescent="0.25">
      <c r="A88" s="3" t="s">
        <v>85</v>
      </c>
      <c r="B88" s="9" t="s">
        <v>467</v>
      </c>
      <c r="C88" s="3" t="s">
        <v>173</v>
      </c>
      <c r="D88" s="9" t="s">
        <v>45</v>
      </c>
      <c r="E88" s="3" t="s">
        <v>31</v>
      </c>
      <c r="F88" s="9" t="s">
        <v>390</v>
      </c>
      <c r="G88" s="3" t="s">
        <v>31</v>
      </c>
      <c r="H88" s="7"/>
    </row>
    <row r="89" spans="1:8" ht="18" x14ac:dyDescent="0.25">
      <c r="A89" s="3" t="s">
        <v>138</v>
      </c>
      <c r="B89" s="9" t="s">
        <v>139</v>
      </c>
      <c r="C89" s="3" t="s">
        <v>173</v>
      </c>
      <c r="D89" s="9" t="s">
        <v>45</v>
      </c>
      <c r="E89" s="3" t="s">
        <v>31</v>
      </c>
      <c r="F89" s="9" t="s">
        <v>139</v>
      </c>
      <c r="G89" s="3" t="s">
        <v>31</v>
      </c>
      <c r="H89" s="7"/>
    </row>
    <row r="90" spans="1:8" ht="18" x14ac:dyDescent="0.25">
      <c r="A90" s="8" t="s">
        <v>144</v>
      </c>
      <c r="B90" s="8" t="s">
        <v>41</v>
      </c>
      <c r="C90" s="8" t="s">
        <v>42</v>
      </c>
      <c r="D90" s="8" t="s">
        <v>41</v>
      </c>
      <c r="E90" s="8" t="s">
        <v>42</v>
      </c>
      <c r="F90" s="8" t="s">
        <v>41</v>
      </c>
      <c r="G90" s="8" t="s">
        <v>42</v>
      </c>
      <c r="H90" s="7"/>
    </row>
    <row r="91" spans="1:8" x14ac:dyDescent="0.25">
      <c r="A91" s="8" t="s">
        <v>151</v>
      </c>
      <c r="B91" s="8" t="s">
        <v>41</v>
      </c>
      <c r="C91" s="8" t="s">
        <v>42</v>
      </c>
      <c r="D91" s="8" t="s">
        <v>41</v>
      </c>
      <c r="E91" s="8" t="s">
        <v>42</v>
      </c>
      <c r="F91" s="8" t="s">
        <v>41</v>
      </c>
      <c r="G91" s="8" t="s">
        <v>42</v>
      </c>
      <c r="H91" s="7"/>
    </row>
    <row r="92" spans="1:8" ht="36" x14ac:dyDescent="0.25">
      <c r="A92" s="3" t="s">
        <v>152</v>
      </c>
      <c r="B92" s="9" t="s">
        <v>534</v>
      </c>
      <c r="C92" s="3" t="s">
        <v>535</v>
      </c>
      <c r="D92" s="9" t="s">
        <v>153</v>
      </c>
      <c r="E92" s="3" t="s">
        <v>154</v>
      </c>
      <c r="F92" s="9" t="s">
        <v>155</v>
      </c>
      <c r="G92" s="3" t="s">
        <v>156</v>
      </c>
      <c r="H92" s="7"/>
    </row>
    <row r="93" spans="1:8" ht="27" x14ac:dyDescent="0.25">
      <c r="A93" s="3" t="s">
        <v>157</v>
      </c>
      <c r="B93" s="9" t="s">
        <v>474</v>
      </c>
      <c r="C93" s="3" t="s">
        <v>398</v>
      </c>
      <c r="D93" s="9" t="s">
        <v>158</v>
      </c>
      <c r="E93" s="3" t="s">
        <v>159</v>
      </c>
      <c r="F93" s="9" t="s">
        <v>160</v>
      </c>
      <c r="G93" s="3" t="s">
        <v>161</v>
      </c>
      <c r="H93" s="7"/>
    </row>
    <row r="94" spans="1:8" ht="18" x14ac:dyDescent="0.25">
      <c r="A94" s="3" t="s">
        <v>162</v>
      </c>
      <c r="B94" s="9" t="s">
        <v>536</v>
      </c>
      <c r="C94" s="3" t="s">
        <v>537</v>
      </c>
      <c r="D94" s="9" t="s">
        <v>538</v>
      </c>
      <c r="E94" s="3" t="s">
        <v>539</v>
      </c>
      <c r="F94" s="9" t="s">
        <v>540</v>
      </c>
      <c r="G94" s="3" t="s">
        <v>541</v>
      </c>
      <c r="H94" s="7"/>
    </row>
    <row r="95" spans="1:8" ht="27" x14ac:dyDescent="0.25">
      <c r="A95" s="16"/>
      <c r="B95" s="9" t="s">
        <v>542</v>
      </c>
      <c r="C95" s="3" t="s">
        <v>542</v>
      </c>
      <c r="D95" s="9" t="s">
        <v>542</v>
      </c>
      <c r="E95" s="3" t="s">
        <v>542</v>
      </c>
      <c r="F95" s="9" t="s">
        <v>543</v>
      </c>
      <c r="G95" s="3" t="s">
        <v>542</v>
      </c>
      <c r="H95" s="7"/>
    </row>
    <row r="96" spans="1:8" ht="18" x14ac:dyDescent="0.25">
      <c r="A96" s="3" t="s">
        <v>174</v>
      </c>
      <c r="B96" s="9" t="s">
        <v>173</v>
      </c>
      <c r="C96" s="3" t="s">
        <v>173</v>
      </c>
      <c r="D96" s="9" t="s">
        <v>173</v>
      </c>
      <c r="E96" s="3" t="s">
        <v>173</v>
      </c>
      <c r="F96" s="9" t="s">
        <v>173</v>
      </c>
      <c r="G96" s="3" t="s">
        <v>173</v>
      </c>
      <c r="H96" s="7"/>
    </row>
    <row r="97" spans="1:8" ht="18" x14ac:dyDescent="0.25">
      <c r="A97" s="10" t="s">
        <v>176</v>
      </c>
      <c r="B97" s="11" t="s">
        <v>467</v>
      </c>
      <c r="C97" s="10" t="s">
        <v>173</v>
      </c>
      <c r="D97" s="11" t="s">
        <v>45</v>
      </c>
      <c r="E97" s="10" t="s">
        <v>31</v>
      </c>
      <c r="F97" s="11" t="s">
        <v>346</v>
      </c>
      <c r="G97" s="10" t="s">
        <v>31</v>
      </c>
      <c r="H97" s="86"/>
    </row>
    <row r="98" spans="1:8" ht="36" x14ac:dyDescent="0.25">
      <c r="A98" s="15" t="s">
        <v>177</v>
      </c>
      <c r="B98" s="12" t="s">
        <v>178</v>
      </c>
      <c r="C98" s="15" t="s">
        <v>179</v>
      </c>
      <c r="D98" s="12" t="s">
        <v>178</v>
      </c>
      <c r="E98" s="15" t="s">
        <v>179</v>
      </c>
      <c r="F98" s="12" t="s">
        <v>178</v>
      </c>
      <c r="G98" s="15" t="s">
        <v>179</v>
      </c>
      <c r="H98" s="86"/>
    </row>
    <row r="99" spans="1:8" x14ac:dyDescent="0.25">
      <c r="A99" s="8" t="s">
        <v>180</v>
      </c>
      <c r="B99" s="8" t="s">
        <v>41</v>
      </c>
      <c r="C99" s="8" t="s">
        <v>42</v>
      </c>
      <c r="D99" s="8" t="s">
        <v>41</v>
      </c>
      <c r="E99" s="8" t="s">
        <v>42</v>
      </c>
      <c r="F99" s="8" t="s">
        <v>41</v>
      </c>
      <c r="G99" s="8" t="s">
        <v>42</v>
      </c>
      <c r="H99" s="7"/>
    </row>
    <row r="100" spans="1:8" ht="18" x14ac:dyDescent="0.25">
      <c r="A100" s="3" t="s">
        <v>185</v>
      </c>
      <c r="B100" s="9" t="s">
        <v>467</v>
      </c>
      <c r="C100" s="3" t="s">
        <v>173</v>
      </c>
      <c r="D100" s="9" t="s">
        <v>45</v>
      </c>
      <c r="E100" s="3" t="s">
        <v>31</v>
      </c>
      <c r="F100" s="9" t="s">
        <v>346</v>
      </c>
      <c r="G100" s="3" t="s">
        <v>31</v>
      </c>
      <c r="H100" s="7"/>
    </row>
    <row r="101" spans="1:8" ht="27" x14ac:dyDescent="0.25">
      <c r="A101" s="3" t="s">
        <v>189</v>
      </c>
      <c r="B101" s="9" t="s">
        <v>546</v>
      </c>
      <c r="C101" s="3" t="s">
        <v>418</v>
      </c>
      <c r="D101" s="9" t="s">
        <v>191</v>
      </c>
      <c r="E101" s="3" t="s">
        <v>183</v>
      </c>
      <c r="F101" s="9" t="s">
        <v>547</v>
      </c>
      <c r="G101" s="3" t="s">
        <v>183</v>
      </c>
      <c r="H101" s="7"/>
    </row>
    <row r="102" spans="1:8" ht="27" x14ac:dyDescent="0.25">
      <c r="A102" s="3" t="s">
        <v>192</v>
      </c>
      <c r="B102" s="9" t="s">
        <v>193</v>
      </c>
      <c r="C102" s="3" t="s">
        <v>193</v>
      </c>
      <c r="D102" s="9" t="s">
        <v>193</v>
      </c>
      <c r="E102" s="3" t="s">
        <v>193</v>
      </c>
      <c r="F102" s="9" t="s">
        <v>193</v>
      </c>
      <c r="G102" s="3" t="s">
        <v>193</v>
      </c>
      <c r="H102" s="7"/>
    </row>
    <row r="103" spans="1:8" ht="99" customHeight="1" x14ac:dyDescent="0.25">
      <c r="A103" s="130" t="s">
        <v>194</v>
      </c>
      <c r="B103" s="130" t="s">
        <v>41</v>
      </c>
      <c r="C103" s="130" t="s">
        <v>42</v>
      </c>
      <c r="D103" s="130" t="s">
        <v>41</v>
      </c>
      <c r="E103" s="130" t="s">
        <v>42</v>
      </c>
      <c r="F103" s="130" t="s">
        <v>41</v>
      </c>
      <c r="G103" s="130" t="s">
        <v>42</v>
      </c>
      <c r="H103" s="86"/>
    </row>
    <row r="104" spans="1:8" x14ac:dyDescent="0.25">
      <c r="A104" s="15" t="s">
        <v>195</v>
      </c>
      <c r="B104" s="12" t="s">
        <v>112</v>
      </c>
      <c r="C104" s="15" t="s">
        <v>112</v>
      </c>
      <c r="D104" s="12" t="s">
        <v>112</v>
      </c>
      <c r="E104" s="15" t="s">
        <v>112</v>
      </c>
      <c r="F104" s="12" t="s">
        <v>112</v>
      </c>
      <c r="G104" s="15" t="s">
        <v>112</v>
      </c>
      <c r="H104" s="86"/>
    </row>
    <row r="105" spans="1:8" ht="27" x14ac:dyDescent="0.25">
      <c r="A105" s="3" t="s">
        <v>202</v>
      </c>
      <c r="B105" s="9" t="s">
        <v>173</v>
      </c>
      <c r="C105" s="3" t="s">
        <v>203</v>
      </c>
      <c r="D105" s="9" t="s">
        <v>173</v>
      </c>
      <c r="E105" s="3" t="s">
        <v>203</v>
      </c>
      <c r="F105" s="9" t="s">
        <v>173</v>
      </c>
      <c r="G105" s="3" t="s">
        <v>203</v>
      </c>
      <c r="H105" s="7"/>
    </row>
    <row r="106" spans="1:8" ht="18" x14ac:dyDescent="0.25">
      <c r="A106" s="10" t="s">
        <v>548</v>
      </c>
      <c r="B106" s="11" t="s">
        <v>549</v>
      </c>
      <c r="C106" s="10" t="s">
        <v>550</v>
      </c>
      <c r="D106" s="11" t="s">
        <v>551</v>
      </c>
      <c r="E106" s="10" t="s">
        <v>552</v>
      </c>
      <c r="F106" s="11" t="s">
        <v>553</v>
      </c>
      <c r="G106" s="10" t="s">
        <v>552</v>
      </c>
      <c r="H106" s="7"/>
    </row>
    <row r="107" spans="1:8" ht="45" x14ac:dyDescent="0.25">
      <c r="A107" s="3" t="s">
        <v>554</v>
      </c>
      <c r="B107" s="9" t="s">
        <v>555</v>
      </c>
      <c r="C107" s="3" t="s">
        <v>555</v>
      </c>
      <c r="D107" s="9" t="s">
        <v>555</v>
      </c>
      <c r="E107" s="3" t="s">
        <v>555</v>
      </c>
      <c r="F107" s="9" t="s">
        <v>556</v>
      </c>
      <c r="G107" s="3" t="s">
        <v>555</v>
      </c>
      <c r="H10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2"/>
  <sheetViews>
    <sheetView workbookViewId="0"/>
  </sheetViews>
  <sheetFormatPr defaultColWidth="18" defaultRowHeight="15" x14ac:dyDescent="0.25"/>
  <sheetData>
    <row r="1" spans="1:6" x14ac:dyDescent="0.25">
      <c r="A1" s="1"/>
      <c r="B1" s="315" t="s">
        <v>205</v>
      </c>
      <c r="C1" s="316"/>
      <c r="D1" s="315" t="s">
        <v>205</v>
      </c>
      <c r="E1" s="317"/>
      <c r="F1" s="2"/>
    </row>
    <row r="2" spans="1:6" x14ac:dyDescent="0.25">
      <c r="A2" s="304" t="s">
        <v>3</v>
      </c>
      <c r="B2" s="305"/>
      <c r="C2" s="305"/>
      <c r="D2" s="305"/>
      <c r="E2" s="305"/>
      <c r="F2" s="2"/>
    </row>
    <row r="3" spans="1:6" x14ac:dyDescent="0.25">
      <c r="A3" s="3" t="s">
        <v>4</v>
      </c>
      <c r="B3" s="306" t="s">
        <v>206</v>
      </c>
      <c r="C3" s="307"/>
      <c r="D3" s="308" t="s">
        <v>207</v>
      </c>
      <c r="E3" s="309"/>
      <c r="F3" s="2"/>
    </row>
    <row r="4" spans="1:6" x14ac:dyDescent="0.25">
      <c r="A4" s="3" t="s">
        <v>5</v>
      </c>
      <c r="B4" s="306" t="s">
        <v>205</v>
      </c>
      <c r="C4" s="307"/>
      <c r="D4" s="308" t="s">
        <v>205</v>
      </c>
      <c r="E4" s="309"/>
      <c r="F4" s="2"/>
    </row>
    <row r="5" spans="1:6" x14ac:dyDescent="0.25">
      <c r="A5" s="3" t="s">
        <v>6</v>
      </c>
      <c r="B5" s="306" t="s">
        <v>7</v>
      </c>
      <c r="C5" s="307"/>
      <c r="D5" s="308" t="s">
        <v>7</v>
      </c>
      <c r="E5" s="309"/>
      <c r="F5" s="2"/>
    </row>
    <row r="6" spans="1:6" ht="63" customHeight="1" x14ac:dyDescent="0.25">
      <c r="A6" s="3" t="s">
        <v>9</v>
      </c>
      <c r="B6" s="306" t="s">
        <v>208</v>
      </c>
      <c r="C6" s="307"/>
      <c r="D6" s="308" t="s">
        <v>209</v>
      </c>
      <c r="E6" s="309"/>
      <c r="F6" s="6"/>
    </row>
    <row r="7" spans="1:6" x14ac:dyDescent="0.25">
      <c r="A7" s="3" t="s">
        <v>12</v>
      </c>
      <c r="B7" s="306" t="s">
        <v>13</v>
      </c>
      <c r="C7" s="307"/>
      <c r="D7" s="308" t="s">
        <v>13</v>
      </c>
      <c r="E7" s="309"/>
      <c r="F7" s="2"/>
    </row>
    <row r="8" spans="1:6" x14ac:dyDescent="0.25">
      <c r="A8" s="3" t="s">
        <v>15</v>
      </c>
      <c r="B8" s="306" t="s">
        <v>16</v>
      </c>
      <c r="C8" s="307"/>
      <c r="D8" s="308" t="s">
        <v>16</v>
      </c>
      <c r="E8" s="309"/>
      <c r="F8" s="2"/>
    </row>
    <row r="9" spans="1:6" x14ac:dyDescent="0.25">
      <c r="A9" s="3" t="s">
        <v>18</v>
      </c>
      <c r="B9" s="306" t="s">
        <v>210</v>
      </c>
      <c r="C9" s="307"/>
      <c r="D9" s="308" t="s">
        <v>19</v>
      </c>
      <c r="E9" s="309"/>
      <c r="F9" s="2"/>
    </row>
    <row r="10" spans="1:6" x14ac:dyDescent="0.25">
      <c r="A10" s="5" t="s">
        <v>20</v>
      </c>
      <c r="B10" s="304" t="s">
        <v>21</v>
      </c>
      <c r="C10" s="314"/>
      <c r="D10" s="304" t="s">
        <v>21</v>
      </c>
      <c r="E10" s="305"/>
      <c r="F10" s="2"/>
    </row>
    <row r="11" spans="1:6" x14ac:dyDescent="0.25">
      <c r="A11" s="3" t="s">
        <v>22</v>
      </c>
      <c r="B11" s="310">
        <v>360.93</v>
      </c>
      <c r="C11" s="311"/>
      <c r="D11" s="312">
        <v>392.94</v>
      </c>
      <c r="E11" s="313"/>
      <c r="F11" s="2"/>
    </row>
    <row r="12" spans="1:6" x14ac:dyDescent="0.25">
      <c r="A12" s="3" t="s">
        <v>23</v>
      </c>
      <c r="B12" s="310">
        <v>721.86</v>
      </c>
      <c r="C12" s="311"/>
      <c r="D12" s="312">
        <v>785.88</v>
      </c>
      <c r="E12" s="313"/>
      <c r="F12" s="2"/>
    </row>
    <row r="13" spans="1:6" x14ac:dyDescent="0.25">
      <c r="A13" s="3" t="s">
        <v>24</v>
      </c>
      <c r="B13" s="310">
        <v>613.58000000000004</v>
      </c>
      <c r="C13" s="311"/>
      <c r="D13" s="312">
        <v>668</v>
      </c>
      <c r="E13" s="313"/>
      <c r="F13" s="2"/>
    </row>
    <row r="14" spans="1:6" x14ac:dyDescent="0.25">
      <c r="A14" s="3" t="s">
        <v>25</v>
      </c>
      <c r="B14" s="310">
        <v>1028.6600000000001</v>
      </c>
      <c r="C14" s="311"/>
      <c r="D14" s="312">
        <v>1119.8900000000001</v>
      </c>
      <c r="E14" s="313"/>
      <c r="F14" s="2"/>
    </row>
    <row r="15" spans="1:6" x14ac:dyDescent="0.25">
      <c r="A15" s="304" t="s">
        <v>26</v>
      </c>
      <c r="B15" s="305"/>
      <c r="C15" s="305"/>
      <c r="D15" s="305"/>
      <c r="E15" s="305"/>
      <c r="F15" s="2"/>
    </row>
    <row r="16" spans="1:6" ht="18" x14ac:dyDescent="0.25">
      <c r="A16" s="3" t="s">
        <v>27</v>
      </c>
      <c r="B16" s="306" t="s">
        <v>28</v>
      </c>
      <c r="C16" s="307"/>
      <c r="D16" s="308" t="s">
        <v>28</v>
      </c>
      <c r="E16" s="309"/>
      <c r="F16" s="6"/>
    </row>
    <row r="17" spans="1:6" x14ac:dyDescent="0.25">
      <c r="A17" s="3" t="s">
        <v>29</v>
      </c>
      <c r="B17" s="306" t="s">
        <v>28</v>
      </c>
      <c r="C17" s="307"/>
      <c r="D17" s="308" t="s">
        <v>28</v>
      </c>
      <c r="E17" s="309"/>
      <c r="F17" s="2"/>
    </row>
    <row r="18" spans="1:6" x14ac:dyDescent="0.25">
      <c r="A18" s="3" t="s">
        <v>30</v>
      </c>
      <c r="B18" s="306" t="s">
        <v>112</v>
      </c>
      <c r="C18" s="307"/>
      <c r="D18" s="308" t="s">
        <v>112</v>
      </c>
      <c r="E18" s="309"/>
      <c r="F18" s="2"/>
    </row>
    <row r="19" spans="1:6" ht="27" customHeight="1" x14ac:dyDescent="0.25">
      <c r="A19" s="3" t="s">
        <v>32</v>
      </c>
      <c r="B19" s="306" t="s">
        <v>211</v>
      </c>
      <c r="C19" s="307"/>
      <c r="D19" s="308" t="s">
        <v>33</v>
      </c>
      <c r="E19" s="309"/>
      <c r="F19" s="2"/>
    </row>
    <row r="20" spans="1:6" ht="18" x14ac:dyDescent="0.25">
      <c r="A20" s="3" t="s">
        <v>34</v>
      </c>
      <c r="B20" s="306" t="s">
        <v>35</v>
      </c>
      <c r="C20" s="307"/>
      <c r="D20" s="308" t="s">
        <v>35</v>
      </c>
      <c r="E20" s="309"/>
      <c r="F20" s="6"/>
    </row>
    <row r="21" spans="1:6" x14ac:dyDescent="0.25">
      <c r="A21" s="3" t="s">
        <v>36</v>
      </c>
      <c r="B21" s="306" t="s">
        <v>37</v>
      </c>
      <c r="C21" s="307"/>
      <c r="D21" s="308" t="s">
        <v>37</v>
      </c>
      <c r="E21" s="309"/>
      <c r="F21" s="2"/>
    </row>
    <row r="22" spans="1:6" ht="72" customHeight="1" x14ac:dyDescent="0.25">
      <c r="A22" s="3" t="s">
        <v>38</v>
      </c>
      <c r="B22" s="306" t="s">
        <v>212</v>
      </c>
      <c r="C22" s="307"/>
      <c r="D22" s="308" t="s">
        <v>39</v>
      </c>
      <c r="E22" s="309"/>
      <c r="F22" s="4"/>
    </row>
    <row r="23" spans="1:6" x14ac:dyDescent="0.25">
      <c r="A23" s="304" t="s">
        <v>40</v>
      </c>
      <c r="B23" s="305"/>
      <c r="C23" s="305"/>
      <c r="D23" s="305"/>
      <c r="E23" s="305"/>
      <c r="F23" s="2"/>
    </row>
    <row r="24" spans="1:6" ht="18" x14ac:dyDescent="0.25">
      <c r="A24" s="8" t="s">
        <v>40</v>
      </c>
      <c r="B24" s="8" t="s">
        <v>41</v>
      </c>
      <c r="C24" s="8" t="s">
        <v>42</v>
      </c>
      <c r="D24" s="8" t="s">
        <v>41</v>
      </c>
      <c r="E24" s="8" t="s">
        <v>42</v>
      </c>
      <c r="F24" s="6"/>
    </row>
    <row r="25" spans="1:6" ht="18" x14ac:dyDescent="0.25">
      <c r="A25" s="3" t="s">
        <v>43</v>
      </c>
      <c r="B25" s="9" t="s">
        <v>46</v>
      </c>
      <c r="C25" s="3" t="s">
        <v>112</v>
      </c>
      <c r="D25" s="9" t="s">
        <v>46</v>
      </c>
      <c r="E25" s="3" t="s">
        <v>112</v>
      </c>
      <c r="F25" s="7"/>
    </row>
    <row r="26" spans="1:6" ht="18" x14ac:dyDescent="0.25">
      <c r="A26" s="3" t="s">
        <v>47</v>
      </c>
      <c r="B26" s="9" t="s">
        <v>49</v>
      </c>
      <c r="C26" s="3" t="s">
        <v>112</v>
      </c>
      <c r="D26" s="9" t="s">
        <v>49</v>
      </c>
      <c r="E26" s="3" t="s">
        <v>112</v>
      </c>
      <c r="F26" s="7"/>
    </row>
    <row r="27" spans="1:6" x14ac:dyDescent="0.25">
      <c r="A27" s="3" t="s">
        <v>50</v>
      </c>
      <c r="B27" s="9" t="s">
        <v>53</v>
      </c>
      <c r="C27" s="3" t="s">
        <v>112</v>
      </c>
      <c r="D27" s="9" t="s">
        <v>53</v>
      </c>
      <c r="E27" s="3" t="s">
        <v>112</v>
      </c>
      <c r="F27" s="7"/>
    </row>
    <row r="28" spans="1:6" ht="18" x14ac:dyDescent="0.25">
      <c r="A28" s="3" t="s">
        <v>54</v>
      </c>
      <c r="B28" s="9" t="s">
        <v>213</v>
      </c>
      <c r="C28" s="3" t="s">
        <v>112</v>
      </c>
      <c r="D28" s="9" t="s">
        <v>213</v>
      </c>
      <c r="E28" s="3" t="s">
        <v>112</v>
      </c>
      <c r="F28" s="7"/>
    </row>
    <row r="29" spans="1:6" ht="18" x14ac:dyDescent="0.25">
      <c r="A29" s="3" t="s">
        <v>60</v>
      </c>
      <c r="B29" s="9" t="s">
        <v>214</v>
      </c>
      <c r="C29" s="3" t="s">
        <v>112</v>
      </c>
      <c r="D29" s="9" t="s">
        <v>215</v>
      </c>
      <c r="E29" s="3" t="s">
        <v>112</v>
      </c>
      <c r="F29" s="7"/>
    </row>
    <row r="30" spans="1:6" x14ac:dyDescent="0.25">
      <c r="A30" s="3" t="s">
        <v>65</v>
      </c>
      <c r="B30" s="9" t="s">
        <v>66</v>
      </c>
      <c r="C30" s="3" t="s">
        <v>66</v>
      </c>
      <c r="D30" s="9" t="s">
        <v>66</v>
      </c>
      <c r="E30" s="3" t="s">
        <v>66</v>
      </c>
      <c r="F30" s="7"/>
    </row>
    <row r="31" spans="1:6" x14ac:dyDescent="0.25">
      <c r="A31" s="304" t="s">
        <v>67</v>
      </c>
      <c r="B31" s="305"/>
      <c r="C31" s="305"/>
      <c r="D31" s="305"/>
      <c r="E31" s="305"/>
      <c r="F31" s="7"/>
    </row>
    <row r="32" spans="1:6" ht="18" x14ac:dyDescent="0.25">
      <c r="A32" s="8" t="s">
        <v>68</v>
      </c>
      <c r="B32" s="8" t="s">
        <v>41</v>
      </c>
      <c r="C32" s="8" t="s">
        <v>42</v>
      </c>
      <c r="D32" s="8" t="s">
        <v>41</v>
      </c>
      <c r="E32" s="8" t="s">
        <v>42</v>
      </c>
      <c r="F32" s="7"/>
    </row>
    <row r="33" spans="1:6" x14ac:dyDescent="0.25">
      <c r="A33" s="3" t="s">
        <v>69</v>
      </c>
      <c r="B33" s="9" t="s">
        <v>70</v>
      </c>
      <c r="C33" s="3" t="s">
        <v>112</v>
      </c>
      <c r="D33" s="9" t="s">
        <v>70</v>
      </c>
      <c r="E33" s="3" t="s">
        <v>112</v>
      </c>
      <c r="F33" s="7"/>
    </row>
    <row r="34" spans="1:6" ht="18" x14ac:dyDescent="0.25">
      <c r="A34" s="3" t="s">
        <v>71</v>
      </c>
      <c r="B34" s="9" t="s">
        <v>70</v>
      </c>
      <c r="C34" s="3" t="s">
        <v>112</v>
      </c>
      <c r="D34" s="9" t="s">
        <v>70</v>
      </c>
      <c r="E34" s="3" t="s">
        <v>112</v>
      </c>
      <c r="F34" s="7"/>
    </row>
    <row r="35" spans="1:6" x14ac:dyDescent="0.25">
      <c r="A35" s="3" t="s">
        <v>72</v>
      </c>
      <c r="B35" s="9" t="s">
        <v>70</v>
      </c>
      <c r="C35" s="3" t="s">
        <v>112</v>
      </c>
      <c r="D35" s="9" t="s">
        <v>70</v>
      </c>
      <c r="E35" s="3" t="s">
        <v>112</v>
      </c>
      <c r="F35" s="7"/>
    </row>
    <row r="36" spans="1:6" x14ac:dyDescent="0.25">
      <c r="A36" s="3" t="s">
        <v>73</v>
      </c>
      <c r="B36" s="9" t="s">
        <v>70</v>
      </c>
      <c r="C36" s="3" t="s">
        <v>112</v>
      </c>
      <c r="D36" s="9" t="s">
        <v>70</v>
      </c>
      <c r="E36" s="3" t="s">
        <v>112</v>
      </c>
      <c r="F36" s="7"/>
    </row>
    <row r="37" spans="1:6" x14ac:dyDescent="0.25">
      <c r="A37" s="3" t="s">
        <v>74</v>
      </c>
      <c r="B37" s="9" t="s">
        <v>70</v>
      </c>
      <c r="C37" s="3" t="s">
        <v>112</v>
      </c>
      <c r="D37" s="9" t="s">
        <v>70</v>
      </c>
      <c r="E37" s="3" t="s">
        <v>112</v>
      </c>
      <c r="F37" s="7"/>
    </row>
    <row r="38" spans="1:6" x14ac:dyDescent="0.25">
      <c r="A38" s="3" t="s">
        <v>75</v>
      </c>
      <c r="B38" s="9" t="s">
        <v>70</v>
      </c>
      <c r="C38" s="3" t="s">
        <v>112</v>
      </c>
      <c r="D38" s="9" t="s">
        <v>70</v>
      </c>
      <c r="E38" s="3" t="s">
        <v>112</v>
      </c>
      <c r="F38" s="7"/>
    </row>
    <row r="39" spans="1:6" x14ac:dyDescent="0.25">
      <c r="A39" s="3" t="s">
        <v>76</v>
      </c>
      <c r="B39" s="9" t="s">
        <v>70</v>
      </c>
      <c r="C39" s="3" t="s">
        <v>112</v>
      </c>
      <c r="D39" s="9" t="s">
        <v>70</v>
      </c>
      <c r="E39" s="3" t="s">
        <v>112</v>
      </c>
      <c r="F39" s="7"/>
    </row>
    <row r="40" spans="1:6" ht="18" x14ac:dyDescent="0.25">
      <c r="A40" s="3" t="s">
        <v>77</v>
      </c>
      <c r="B40" s="9" t="s">
        <v>78</v>
      </c>
      <c r="C40" s="3" t="s">
        <v>112</v>
      </c>
      <c r="D40" s="9" t="s">
        <v>78</v>
      </c>
      <c r="E40" s="3" t="s">
        <v>112</v>
      </c>
      <c r="F40" s="7"/>
    </row>
    <row r="41" spans="1:6" x14ac:dyDescent="0.25">
      <c r="A41" s="3" t="s">
        <v>79</v>
      </c>
      <c r="B41" s="9" t="s">
        <v>216</v>
      </c>
      <c r="C41" s="3" t="s">
        <v>112</v>
      </c>
      <c r="D41" s="9" t="s">
        <v>70</v>
      </c>
      <c r="E41" s="3" t="s">
        <v>112</v>
      </c>
      <c r="F41" s="7"/>
    </row>
    <row r="42" spans="1:6" ht="18" x14ac:dyDescent="0.25">
      <c r="A42" s="8" t="s">
        <v>80</v>
      </c>
      <c r="B42" s="8" t="s">
        <v>41</v>
      </c>
      <c r="C42" s="8" t="s">
        <v>42</v>
      </c>
      <c r="D42" s="8" t="s">
        <v>41</v>
      </c>
      <c r="E42" s="8" t="s">
        <v>42</v>
      </c>
      <c r="F42" s="7"/>
    </row>
    <row r="43" spans="1:6" ht="27" x14ac:dyDescent="0.25">
      <c r="A43" s="3" t="s">
        <v>81</v>
      </c>
      <c r="B43" s="9" t="s">
        <v>96</v>
      </c>
      <c r="C43" s="3" t="s">
        <v>112</v>
      </c>
      <c r="D43" s="9" t="s">
        <v>96</v>
      </c>
      <c r="E43" s="3" t="s">
        <v>112</v>
      </c>
      <c r="F43" s="7"/>
    </row>
    <row r="44" spans="1:6" ht="18" x14ac:dyDescent="0.25">
      <c r="A44" s="3" t="s">
        <v>83</v>
      </c>
      <c r="B44" s="9" t="s">
        <v>217</v>
      </c>
      <c r="C44" s="3" t="s">
        <v>218</v>
      </c>
      <c r="D44" s="9" t="s">
        <v>84</v>
      </c>
      <c r="E44" s="3" t="s">
        <v>218</v>
      </c>
      <c r="F44" s="7"/>
    </row>
    <row r="45" spans="1:6" ht="27" x14ac:dyDescent="0.25">
      <c r="A45" s="3" t="s">
        <v>85</v>
      </c>
      <c r="B45" s="9" t="s">
        <v>96</v>
      </c>
      <c r="C45" s="3" t="s">
        <v>112</v>
      </c>
      <c r="D45" s="9" t="s">
        <v>96</v>
      </c>
      <c r="E45" s="3" t="s">
        <v>112</v>
      </c>
      <c r="F45" s="7"/>
    </row>
    <row r="46" spans="1:6" ht="18" x14ac:dyDescent="0.25">
      <c r="A46" s="3" t="s">
        <v>138</v>
      </c>
      <c r="B46" s="9" t="s">
        <v>137</v>
      </c>
      <c r="C46" s="3" t="s">
        <v>112</v>
      </c>
      <c r="D46" s="9" t="s">
        <v>137</v>
      </c>
      <c r="E46" s="3" t="s">
        <v>112</v>
      </c>
      <c r="F46" s="7"/>
    </row>
    <row r="47" spans="1:6" ht="27" x14ac:dyDescent="0.25">
      <c r="A47" s="3" t="s">
        <v>94</v>
      </c>
      <c r="B47" s="9" t="s">
        <v>96</v>
      </c>
      <c r="C47" s="3" t="s">
        <v>112</v>
      </c>
      <c r="D47" s="9" t="s">
        <v>96</v>
      </c>
      <c r="E47" s="3" t="s">
        <v>112</v>
      </c>
      <c r="F47" s="7"/>
    </row>
    <row r="48" spans="1:6" ht="27" x14ac:dyDescent="0.25">
      <c r="A48" s="3" t="s">
        <v>95</v>
      </c>
      <c r="B48" s="9" t="s">
        <v>96</v>
      </c>
      <c r="C48" s="3" t="s">
        <v>112</v>
      </c>
      <c r="D48" s="9" t="s">
        <v>96</v>
      </c>
      <c r="E48" s="3" t="s">
        <v>112</v>
      </c>
      <c r="F48" s="7"/>
    </row>
    <row r="49" spans="1:6" ht="27" x14ac:dyDescent="0.25">
      <c r="A49" s="3" t="s">
        <v>97</v>
      </c>
      <c r="B49" s="9" t="s">
        <v>96</v>
      </c>
      <c r="C49" s="3" t="s">
        <v>112</v>
      </c>
      <c r="D49" s="9" t="s">
        <v>96</v>
      </c>
      <c r="E49" s="3" t="s">
        <v>112</v>
      </c>
      <c r="F49" s="7"/>
    </row>
    <row r="50" spans="1:6" ht="18" x14ac:dyDescent="0.25">
      <c r="A50" s="3" t="s">
        <v>98</v>
      </c>
      <c r="B50" s="9" t="s">
        <v>99</v>
      </c>
      <c r="C50" s="3" t="s">
        <v>112</v>
      </c>
      <c r="D50" s="9" t="s">
        <v>99</v>
      </c>
      <c r="E50" s="3" t="s">
        <v>112</v>
      </c>
      <c r="F50" s="7"/>
    </row>
    <row r="51" spans="1:6" ht="18" x14ac:dyDescent="0.25">
      <c r="A51" s="3" t="s">
        <v>100</v>
      </c>
      <c r="B51" s="9" t="s">
        <v>99</v>
      </c>
      <c r="C51" s="3" t="s">
        <v>112</v>
      </c>
      <c r="D51" s="9" t="s">
        <v>99</v>
      </c>
      <c r="E51" s="3" t="s">
        <v>112</v>
      </c>
      <c r="F51" s="7"/>
    </row>
    <row r="52" spans="1:6" x14ac:dyDescent="0.25">
      <c r="A52" s="8" t="s">
        <v>102</v>
      </c>
      <c r="B52" s="8" t="s">
        <v>41</v>
      </c>
      <c r="C52" s="8" t="s">
        <v>42</v>
      </c>
      <c r="D52" s="8" t="s">
        <v>41</v>
      </c>
      <c r="E52" s="8" t="s">
        <v>42</v>
      </c>
      <c r="F52" s="7"/>
    </row>
    <row r="53" spans="1:6" ht="27" x14ac:dyDescent="0.25">
      <c r="A53" s="3" t="s">
        <v>103</v>
      </c>
      <c r="B53" s="9" t="s">
        <v>104</v>
      </c>
      <c r="C53" s="3" t="s">
        <v>112</v>
      </c>
      <c r="D53" s="9" t="s">
        <v>104</v>
      </c>
      <c r="E53" s="3" t="s">
        <v>112</v>
      </c>
      <c r="F53" s="7"/>
    </row>
    <row r="54" spans="1:6" ht="18" x14ac:dyDescent="0.25">
      <c r="A54" s="10" t="s">
        <v>219</v>
      </c>
      <c r="B54" s="11" t="s">
        <v>220</v>
      </c>
      <c r="C54" s="10" t="s">
        <v>112</v>
      </c>
      <c r="D54" s="11" t="s">
        <v>220</v>
      </c>
      <c r="E54" s="10" t="s">
        <v>112</v>
      </c>
      <c r="F54" s="7"/>
    </row>
    <row r="55" spans="1:6" x14ac:dyDescent="0.25">
      <c r="A55" s="3" t="s">
        <v>221</v>
      </c>
      <c r="B55" s="9" t="s">
        <v>222</v>
      </c>
      <c r="C55" s="14"/>
      <c r="D55" s="9" t="s">
        <v>222</v>
      </c>
      <c r="E55" s="14"/>
      <c r="F55" s="7"/>
    </row>
    <row r="56" spans="1:6" ht="18" x14ac:dyDescent="0.25">
      <c r="A56" s="3" t="s">
        <v>108</v>
      </c>
      <c r="B56" s="9" t="s">
        <v>84</v>
      </c>
      <c r="C56" s="3" t="s">
        <v>112</v>
      </c>
      <c r="D56" s="9" t="s">
        <v>84</v>
      </c>
      <c r="E56" s="3" t="s">
        <v>112</v>
      </c>
      <c r="F56" s="7"/>
    </row>
    <row r="57" spans="1:6" x14ac:dyDescent="0.25">
      <c r="A57" s="8" t="s">
        <v>109</v>
      </c>
      <c r="B57" s="8" t="s">
        <v>41</v>
      </c>
      <c r="C57" s="8" t="s">
        <v>42</v>
      </c>
      <c r="D57" s="8" t="s">
        <v>41</v>
      </c>
      <c r="E57" s="8" t="s">
        <v>42</v>
      </c>
      <c r="F57" s="7"/>
    </row>
    <row r="58" spans="1:6" x14ac:dyDescent="0.25">
      <c r="A58" s="3" t="s">
        <v>110</v>
      </c>
      <c r="B58" s="9" t="s">
        <v>223</v>
      </c>
      <c r="C58" s="3" t="s">
        <v>112</v>
      </c>
      <c r="D58" s="9" t="s">
        <v>223</v>
      </c>
      <c r="E58" s="3" t="s">
        <v>112</v>
      </c>
      <c r="F58" s="7"/>
    </row>
    <row r="59" spans="1:6" ht="18" x14ac:dyDescent="0.25">
      <c r="A59" s="3" t="s">
        <v>114</v>
      </c>
      <c r="B59" s="9" t="s">
        <v>116</v>
      </c>
      <c r="C59" s="3" t="s">
        <v>112</v>
      </c>
      <c r="D59" s="9" t="s">
        <v>116</v>
      </c>
      <c r="E59" s="3" t="s">
        <v>112</v>
      </c>
      <c r="F59" s="7"/>
    </row>
    <row r="60" spans="1:6" ht="18" x14ac:dyDescent="0.25">
      <c r="A60" s="8" t="s">
        <v>117</v>
      </c>
      <c r="B60" s="8" t="s">
        <v>41</v>
      </c>
      <c r="C60" s="8" t="s">
        <v>42</v>
      </c>
      <c r="D60" s="8" t="s">
        <v>41</v>
      </c>
      <c r="E60" s="8" t="s">
        <v>42</v>
      </c>
      <c r="F60" s="7"/>
    </row>
    <row r="61" spans="1:6" ht="36" x14ac:dyDescent="0.25">
      <c r="A61" s="3" t="s">
        <v>118</v>
      </c>
      <c r="B61" s="9" t="s">
        <v>224</v>
      </c>
      <c r="C61" s="3" t="s">
        <v>112</v>
      </c>
      <c r="D61" s="9" t="s">
        <v>224</v>
      </c>
      <c r="E61" s="3" t="s">
        <v>112</v>
      </c>
      <c r="F61" s="7"/>
    </row>
    <row r="62" spans="1:6" ht="18" x14ac:dyDescent="0.25">
      <c r="A62" s="3" t="s">
        <v>122</v>
      </c>
      <c r="B62" s="9" t="s">
        <v>70</v>
      </c>
      <c r="C62" s="3" t="s">
        <v>112</v>
      </c>
      <c r="D62" s="9" t="s">
        <v>70</v>
      </c>
      <c r="E62" s="3" t="s">
        <v>112</v>
      </c>
      <c r="F62" s="7"/>
    </row>
    <row r="63" spans="1:6" ht="36" x14ac:dyDescent="0.25">
      <c r="A63" s="3" t="s">
        <v>123</v>
      </c>
      <c r="B63" s="9" t="s">
        <v>225</v>
      </c>
      <c r="C63" s="3" t="s">
        <v>112</v>
      </c>
      <c r="D63" s="9" t="s">
        <v>225</v>
      </c>
      <c r="E63" s="3" t="s">
        <v>112</v>
      </c>
      <c r="F63" s="7"/>
    </row>
    <row r="64" spans="1:6" ht="18" x14ac:dyDescent="0.25">
      <c r="A64" s="3" t="s">
        <v>128</v>
      </c>
      <c r="B64" s="9" t="s">
        <v>226</v>
      </c>
      <c r="C64" s="3" t="s">
        <v>112</v>
      </c>
      <c r="D64" s="9" t="s">
        <v>226</v>
      </c>
      <c r="E64" s="3" t="s">
        <v>112</v>
      </c>
      <c r="F64" s="7"/>
    </row>
    <row r="65" spans="1:6" x14ac:dyDescent="0.25">
      <c r="A65" s="3" t="s">
        <v>129</v>
      </c>
      <c r="B65" s="9" t="s">
        <v>70</v>
      </c>
      <c r="C65" s="3" t="s">
        <v>112</v>
      </c>
      <c r="D65" s="9" t="s">
        <v>70</v>
      </c>
      <c r="E65" s="3" t="s">
        <v>112</v>
      </c>
      <c r="F65" s="7"/>
    </row>
    <row r="66" spans="1:6" x14ac:dyDescent="0.25">
      <c r="A66" s="8" t="s">
        <v>130</v>
      </c>
      <c r="B66" s="8" t="s">
        <v>41</v>
      </c>
      <c r="C66" s="8" t="s">
        <v>42</v>
      </c>
      <c r="D66" s="8" t="s">
        <v>41</v>
      </c>
      <c r="E66" s="8" t="s">
        <v>42</v>
      </c>
      <c r="F66" s="7"/>
    </row>
    <row r="67" spans="1:6" ht="18" x14ac:dyDescent="0.25">
      <c r="A67" s="3" t="s">
        <v>131</v>
      </c>
      <c r="B67" s="9" t="s">
        <v>133</v>
      </c>
      <c r="C67" s="3" t="s">
        <v>133</v>
      </c>
      <c r="D67" s="9" t="s">
        <v>133</v>
      </c>
      <c r="E67" s="3" t="s">
        <v>133</v>
      </c>
      <c r="F67" s="7"/>
    </row>
    <row r="68" spans="1:6" ht="18" x14ac:dyDescent="0.25">
      <c r="A68" s="3" t="s">
        <v>134</v>
      </c>
      <c r="B68" s="9" t="s">
        <v>227</v>
      </c>
      <c r="C68" s="3" t="s">
        <v>112</v>
      </c>
      <c r="D68" s="9" t="s">
        <v>227</v>
      </c>
      <c r="E68" s="3" t="s">
        <v>112</v>
      </c>
      <c r="F68" s="7"/>
    </row>
    <row r="69" spans="1:6" ht="18" x14ac:dyDescent="0.25">
      <c r="A69" s="3" t="s">
        <v>135</v>
      </c>
      <c r="B69" s="9" t="s">
        <v>133</v>
      </c>
      <c r="C69" s="3" t="s">
        <v>133</v>
      </c>
      <c r="D69" s="9" t="s">
        <v>133</v>
      </c>
      <c r="E69" s="3" t="s">
        <v>133</v>
      </c>
      <c r="F69" s="7"/>
    </row>
    <row r="70" spans="1:6" ht="18" x14ac:dyDescent="0.25">
      <c r="A70" s="8" t="s">
        <v>136</v>
      </c>
      <c r="B70" s="8" t="s">
        <v>41</v>
      </c>
      <c r="C70" s="8" t="s">
        <v>42</v>
      </c>
      <c r="D70" s="8" t="s">
        <v>41</v>
      </c>
      <c r="E70" s="8" t="s">
        <v>42</v>
      </c>
      <c r="F70" s="7"/>
    </row>
    <row r="71" spans="1:6" ht="18" x14ac:dyDescent="0.25">
      <c r="A71" s="3" t="s">
        <v>85</v>
      </c>
      <c r="B71" s="9" t="s">
        <v>137</v>
      </c>
      <c r="C71" s="3" t="s">
        <v>112</v>
      </c>
      <c r="D71" s="9" t="s">
        <v>137</v>
      </c>
      <c r="E71" s="3" t="s">
        <v>112</v>
      </c>
      <c r="F71" s="7"/>
    </row>
    <row r="72" spans="1:6" ht="18" x14ac:dyDescent="0.25">
      <c r="A72" s="3" t="s">
        <v>138</v>
      </c>
      <c r="B72" s="9" t="s">
        <v>137</v>
      </c>
      <c r="C72" s="3" t="s">
        <v>112</v>
      </c>
      <c r="D72" s="9" t="s">
        <v>137</v>
      </c>
      <c r="E72" s="3" t="s">
        <v>112</v>
      </c>
      <c r="F72" s="7"/>
    </row>
    <row r="73" spans="1:6" ht="18" x14ac:dyDescent="0.25">
      <c r="A73" s="3" t="s">
        <v>94</v>
      </c>
      <c r="B73" s="9" t="s">
        <v>137</v>
      </c>
      <c r="C73" s="3" t="s">
        <v>112</v>
      </c>
      <c r="D73" s="9" t="s">
        <v>137</v>
      </c>
      <c r="E73" s="3" t="s">
        <v>112</v>
      </c>
      <c r="F73" s="7"/>
    </row>
    <row r="74" spans="1:6" ht="18" x14ac:dyDescent="0.25">
      <c r="A74" s="3" t="s">
        <v>141</v>
      </c>
      <c r="B74" s="9" t="s">
        <v>228</v>
      </c>
      <c r="C74" s="3" t="s">
        <v>112</v>
      </c>
      <c r="D74" s="9" t="s">
        <v>228</v>
      </c>
      <c r="E74" s="3" t="s">
        <v>112</v>
      </c>
      <c r="F74" s="7"/>
    </row>
    <row r="75" spans="1:6" ht="18" x14ac:dyDescent="0.25">
      <c r="A75" s="3" t="s">
        <v>98</v>
      </c>
      <c r="B75" s="9" t="s">
        <v>140</v>
      </c>
      <c r="C75" s="3" t="s">
        <v>112</v>
      </c>
      <c r="D75" s="9" t="s">
        <v>140</v>
      </c>
      <c r="E75" s="3" t="s">
        <v>112</v>
      </c>
      <c r="F75" s="7"/>
    </row>
    <row r="76" spans="1:6" ht="18" x14ac:dyDescent="0.25">
      <c r="A76" s="3" t="s">
        <v>143</v>
      </c>
      <c r="B76" s="9" t="s">
        <v>140</v>
      </c>
      <c r="C76" s="3" t="s">
        <v>112</v>
      </c>
      <c r="D76" s="9" t="s">
        <v>140</v>
      </c>
      <c r="E76" s="3" t="s">
        <v>112</v>
      </c>
      <c r="F76" s="7"/>
    </row>
    <row r="77" spans="1:6" ht="18" x14ac:dyDescent="0.25">
      <c r="A77" s="8" t="s">
        <v>144</v>
      </c>
      <c r="B77" s="8" t="s">
        <v>41</v>
      </c>
      <c r="C77" s="8" t="s">
        <v>42</v>
      </c>
      <c r="D77" s="8" t="s">
        <v>41</v>
      </c>
      <c r="E77" s="8" t="s">
        <v>42</v>
      </c>
      <c r="F77" s="7"/>
    </row>
    <row r="78" spans="1:6" ht="36" x14ac:dyDescent="0.25">
      <c r="A78" s="3" t="s">
        <v>145</v>
      </c>
      <c r="B78" s="9" t="s">
        <v>224</v>
      </c>
      <c r="C78" s="3" t="s">
        <v>112</v>
      </c>
      <c r="D78" s="9" t="s">
        <v>224</v>
      </c>
      <c r="E78" s="3" t="s">
        <v>112</v>
      </c>
      <c r="F78" s="7"/>
    </row>
    <row r="79" spans="1:6" ht="18" x14ac:dyDescent="0.25">
      <c r="A79" s="3" t="s">
        <v>147</v>
      </c>
      <c r="B79" s="9" t="s">
        <v>140</v>
      </c>
      <c r="C79" s="3" t="s">
        <v>112</v>
      </c>
      <c r="D79" s="9" t="s">
        <v>140</v>
      </c>
      <c r="E79" s="3" t="s">
        <v>112</v>
      </c>
      <c r="F79" s="7"/>
    </row>
    <row r="80" spans="1:6" ht="36" x14ac:dyDescent="0.25">
      <c r="A80" s="3" t="s">
        <v>149</v>
      </c>
      <c r="B80" s="9" t="s">
        <v>224</v>
      </c>
      <c r="C80" s="3" t="s">
        <v>112</v>
      </c>
      <c r="D80" s="9" t="s">
        <v>224</v>
      </c>
      <c r="E80" s="3" t="s">
        <v>112</v>
      </c>
      <c r="F80" s="7"/>
    </row>
    <row r="81" spans="1:6" ht="18" x14ac:dyDescent="0.25">
      <c r="A81" s="3" t="s">
        <v>150</v>
      </c>
      <c r="B81" s="9" t="s">
        <v>140</v>
      </c>
      <c r="C81" s="3" t="s">
        <v>112</v>
      </c>
      <c r="D81" s="9" t="s">
        <v>140</v>
      </c>
      <c r="E81" s="3" t="s">
        <v>112</v>
      </c>
      <c r="F81" s="7"/>
    </row>
    <row r="82" spans="1:6" x14ac:dyDescent="0.25">
      <c r="A82" s="8" t="s">
        <v>151</v>
      </c>
      <c r="B82" s="8" t="s">
        <v>41</v>
      </c>
      <c r="C82" s="8" t="s">
        <v>42</v>
      </c>
      <c r="D82" s="8" t="s">
        <v>41</v>
      </c>
      <c r="E82" s="8" t="s">
        <v>42</v>
      </c>
      <c r="F82" s="7"/>
    </row>
    <row r="83" spans="1:6" ht="36" x14ac:dyDescent="0.25">
      <c r="A83" s="3" t="s">
        <v>152</v>
      </c>
      <c r="B83" s="9" t="s">
        <v>229</v>
      </c>
      <c r="C83" s="3" t="s">
        <v>112</v>
      </c>
      <c r="D83" s="9" t="s">
        <v>229</v>
      </c>
      <c r="E83" s="3" t="s">
        <v>112</v>
      </c>
      <c r="F83" s="6"/>
    </row>
    <row r="84" spans="1:6" ht="27" x14ac:dyDescent="0.25">
      <c r="A84" s="3" t="s">
        <v>157</v>
      </c>
      <c r="B84" s="9" t="s">
        <v>160</v>
      </c>
      <c r="C84" s="3" t="s">
        <v>112</v>
      </c>
      <c r="D84" s="9" t="s">
        <v>160</v>
      </c>
      <c r="E84" s="3" t="s">
        <v>112</v>
      </c>
      <c r="F84" s="6"/>
    </row>
    <row r="85" spans="1:6" ht="36" x14ac:dyDescent="0.25">
      <c r="A85" s="3" t="s">
        <v>162</v>
      </c>
      <c r="B85" s="9" t="s">
        <v>230</v>
      </c>
      <c r="C85" s="3" t="s">
        <v>112</v>
      </c>
      <c r="D85" s="9" t="s">
        <v>230</v>
      </c>
      <c r="E85" s="3" t="s">
        <v>112</v>
      </c>
      <c r="F85" s="6"/>
    </row>
    <row r="86" spans="1:6" ht="45" x14ac:dyDescent="0.25">
      <c r="A86" s="3" t="s">
        <v>167</v>
      </c>
      <c r="B86" s="9" t="s">
        <v>231</v>
      </c>
      <c r="C86" s="3" t="s">
        <v>112</v>
      </c>
      <c r="D86" s="9" t="s">
        <v>231</v>
      </c>
      <c r="E86" s="3" t="s">
        <v>112</v>
      </c>
      <c r="F86" s="4"/>
    </row>
    <row r="87" spans="1:6" ht="18" x14ac:dyDescent="0.25">
      <c r="A87" s="3" t="s">
        <v>172</v>
      </c>
      <c r="B87" s="9" t="s">
        <v>45</v>
      </c>
      <c r="C87" s="3" t="s">
        <v>112</v>
      </c>
      <c r="D87" s="9" t="s">
        <v>45</v>
      </c>
      <c r="E87" s="3" t="s">
        <v>112</v>
      </c>
      <c r="F87" s="6"/>
    </row>
    <row r="88" spans="1:6" ht="18" x14ac:dyDescent="0.25">
      <c r="A88" s="3" t="s">
        <v>174</v>
      </c>
      <c r="B88" s="9" t="s">
        <v>45</v>
      </c>
      <c r="C88" s="3" t="s">
        <v>112</v>
      </c>
      <c r="D88" s="9" t="s">
        <v>45</v>
      </c>
      <c r="E88" s="3" t="s">
        <v>112</v>
      </c>
      <c r="F88" s="6"/>
    </row>
    <row r="89" spans="1:6" ht="18" x14ac:dyDescent="0.25">
      <c r="A89" s="3" t="s">
        <v>175</v>
      </c>
      <c r="B89" s="9" t="s">
        <v>232</v>
      </c>
      <c r="C89" s="3" t="s">
        <v>112</v>
      </c>
      <c r="D89" s="9" t="s">
        <v>232</v>
      </c>
      <c r="E89" s="3" t="s">
        <v>112</v>
      </c>
      <c r="F89" s="6"/>
    </row>
    <row r="90" spans="1:6" x14ac:dyDescent="0.25">
      <c r="A90" s="3" t="s">
        <v>176</v>
      </c>
      <c r="B90" s="9" t="s">
        <v>112</v>
      </c>
      <c r="C90" s="3" t="s">
        <v>112</v>
      </c>
      <c r="D90" s="9" t="s">
        <v>112</v>
      </c>
      <c r="E90" s="3" t="s">
        <v>112</v>
      </c>
      <c r="F90" s="6"/>
    </row>
    <row r="91" spans="1:6" ht="27" x14ac:dyDescent="0.25">
      <c r="A91" s="3" t="s">
        <v>177</v>
      </c>
      <c r="B91" s="9" t="s">
        <v>233</v>
      </c>
      <c r="C91" s="3" t="s">
        <v>112</v>
      </c>
      <c r="D91" s="9" t="s">
        <v>233</v>
      </c>
      <c r="E91" s="3" t="s">
        <v>112</v>
      </c>
      <c r="F91" s="6"/>
    </row>
    <row r="92" spans="1:6" x14ac:dyDescent="0.25">
      <c r="A92" s="8" t="s">
        <v>180</v>
      </c>
      <c r="B92" s="8" t="s">
        <v>41</v>
      </c>
      <c r="C92" s="8" t="s">
        <v>42</v>
      </c>
      <c r="D92" s="8" t="s">
        <v>41</v>
      </c>
      <c r="E92" s="8" t="s">
        <v>42</v>
      </c>
      <c r="F92" s="2"/>
    </row>
    <row r="93" spans="1:6" x14ac:dyDescent="0.25">
      <c r="A93" s="3" t="s">
        <v>181</v>
      </c>
      <c r="B93" s="9" t="s">
        <v>112</v>
      </c>
      <c r="C93" s="3" t="s">
        <v>112</v>
      </c>
      <c r="D93" s="9" t="s">
        <v>112</v>
      </c>
      <c r="E93" s="3" t="s">
        <v>112</v>
      </c>
      <c r="F93" s="6"/>
    </row>
    <row r="94" spans="1:6" ht="27" x14ac:dyDescent="0.25">
      <c r="A94" s="3" t="s">
        <v>185</v>
      </c>
      <c r="B94" s="9" t="s">
        <v>96</v>
      </c>
      <c r="C94" s="3" t="s">
        <v>112</v>
      </c>
      <c r="D94" s="9" t="s">
        <v>96</v>
      </c>
      <c r="E94" s="3" t="s">
        <v>112</v>
      </c>
      <c r="F94" s="6"/>
    </row>
    <row r="95" spans="1:6" x14ac:dyDescent="0.25">
      <c r="A95" s="3" t="s">
        <v>186</v>
      </c>
      <c r="B95" s="9" t="s">
        <v>112</v>
      </c>
      <c r="C95" s="3" t="s">
        <v>112</v>
      </c>
      <c r="D95" s="9" t="s">
        <v>112</v>
      </c>
      <c r="E95" s="3" t="s">
        <v>112</v>
      </c>
      <c r="F95" s="6"/>
    </row>
    <row r="96" spans="1:6" ht="27" x14ac:dyDescent="0.25">
      <c r="A96" s="3" t="s">
        <v>189</v>
      </c>
      <c r="B96" s="9" t="s">
        <v>234</v>
      </c>
      <c r="C96" s="3" t="s">
        <v>112</v>
      </c>
      <c r="D96" s="9" t="s">
        <v>234</v>
      </c>
      <c r="E96" s="3" t="s">
        <v>112</v>
      </c>
      <c r="F96" s="6"/>
    </row>
    <row r="97" spans="1:6" ht="27" x14ac:dyDescent="0.25">
      <c r="A97" s="3" t="s">
        <v>192</v>
      </c>
      <c r="B97" s="9" t="s">
        <v>235</v>
      </c>
      <c r="C97" s="3" t="s">
        <v>112</v>
      </c>
      <c r="D97" s="9" t="s">
        <v>235</v>
      </c>
      <c r="E97" s="3" t="s">
        <v>112</v>
      </c>
      <c r="F97" s="6"/>
    </row>
    <row r="98" spans="1:6" x14ac:dyDescent="0.25">
      <c r="A98" s="8" t="s">
        <v>194</v>
      </c>
      <c r="B98" s="8" t="s">
        <v>41</v>
      </c>
      <c r="C98" s="8" t="s">
        <v>42</v>
      </c>
      <c r="D98" s="8" t="s">
        <v>41</v>
      </c>
      <c r="E98" s="8" t="s">
        <v>42</v>
      </c>
      <c r="F98" s="6"/>
    </row>
    <row r="99" spans="1:6" x14ac:dyDescent="0.25">
      <c r="A99" s="3" t="s">
        <v>195</v>
      </c>
      <c r="B99" s="9" t="s">
        <v>112</v>
      </c>
      <c r="C99" s="3" t="s">
        <v>112</v>
      </c>
      <c r="D99" s="9" t="s">
        <v>112</v>
      </c>
      <c r="E99" s="3" t="s">
        <v>112</v>
      </c>
      <c r="F99" s="6"/>
    </row>
    <row r="100" spans="1:6" ht="18" x14ac:dyDescent="0.25">
      <c r="A100" s="3" t="s">
        <v>196</v>
      </c>
      <c r="B100" s="9" t="s">
        <v>236</v>
      </c>
      <c r="C100" s="3" t="s">
        <v>112</v>
      </c>
      <c r="D100" s="9" t="s">
        <v>236</v>
      </c>
      <c r="E100" s="3" t="s">
        <v>112</v>
      </c>
      <c r="F100" s="6"/>
    </row>
    <row r="101" spans="1:6" ht="18" x14ac:dyDescent="0.25">
      <c r="A101" s="3" t="s">
        <v>202</v>
      </c>
      <c r="B101" s="9" t="s">
        <v>236</v>
      </c>
      <c r="C101" s="3" t="s">
        <v>112</v>
      </c>
      <c r="D101" s="9" t="s">
        <v>236</v>
      </c>
      <c r="E101" s="3" t="s">
        <v>112</v>
      </c>
      <c r="F101" s="6"/>
    </row>
    <row r="102" spans="1:6" ht="54" x14ac:dyDescent="0.25">
      <c r="A102" s="3" t="s">
        <v>204</v>
      </c>
      <c r="B102" s="9" t="s">
        <v>237</v>
      </c>
      <c r="C102" s="3" t="s">
        <v>112</v>
      </c>
      <c r="D102" s="9" t="s">
        <v>237</v>
      </c>
      <c r="E102" s="3" t="s">
        <v>112</v>
      </c>
      <c r="F102" s="4"/>
    </row>
  </sheetData>
  <mergeCells count="44">
    <mergeCell ref="B4:C4"/>
    <mergeCell ref="D4:E4"/>
    <mergeCell ref="B1:C1"/>
    <mergeCell ref="D1:E1"/>
    <mergeCell ref="A2:E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7:C17"/>
    <mergeCell ref="D17:E17"/>
    <mergeCell ref="B11:C11"/>
    <mergeCell ref="D11:E11"/>
    <mergeCell ref="B12:C12"/>
    <mergeCell ref="D12:E12"/>
    <mergeCell ref="B13:C13"/>
    <mergeCell ref="D13:E13"/>
    <mergeCell ref="B14:C14"/>
    <mergeCell ref="D14:E14"/>
    <mergeCell ref="A15:E15"/>
    <mergeCell ref="B16:C16"/>
    <mergeCell ref="D16:E16"/>
    <mergeCell ref="B18:C18"/>
    <mergeCell ref="D18:E18"/>
    <mergeCell ref="B19:C19"/>
    <mergeCell ref="D19:E19"/>
    <mergeCell ref="B20:C20"/>
    <mergeCell ref="D20:E20"/>
    <mergeCell ref="A31:E31"/>
    <mergeCell ref="B21:C21"/>
    <mergeCell ref="D21:E21"/>
    <mergeCell ref="B22:C22"/>
    <mergeCell ref="D22:E22"/>
    <mergeCell ref="A23:E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7"/>
  <sheetViews>
    <sheetView workbookViewId="0"/>
  </sheetViews>
  <sheetFormatPr defaultColWidth="16.85546875" defaultRowHeight="15" x14ac:dyDescent="0.25"/>
  <sheetData>
    <row r="1" spans="1:10" ht="18" customHeight="1" x14ac:dyDescent="0.25">
      <c r="A1" s="1"/>
      <c r="B1" s="124" t="s">
        <v>557</v>
      </c>
      <c r="C1" s="125"/>
      <c r="D1" s="124" t="s">
        <v>558</v>
      </c>
      <c r="E1" s="125"/>
      <c r="F1" s="124" t="s">
        <v>559</v>
      </c>
      <c r="G1" s="125"/>
      <c r="H1" s="124" t="s">
        <v>560</v>
      </c>
      <c r="I1" s="126"/>
      <c r="J1" s="2"/>
    </row>
    <row r="2" spans="1:10" x14ac:dyDescent="0.25">
      <c r="A2" s="127" t="s">
        <v>22</v>
      </c>
      <c r="B2" s="122">
        <v>462.05</v>
      </c>
      <c r="C2" s="122"/>
      <c r="D2" s="133">
        <v>550.27</v>
      </c>
      <c r="E2" s="133"/>
      <c r="F2" s="122">
        <v>546.37</v>
      </c>
      <c r="G2" s="122"/>
      <c r="H2" s="133">
        <v>521.23</v>
      </c>
      <c r="I2" s="133"/>
      <c r="J2" s="2"/>
    </row>
    <row r="3" spans="1:10" ht="14.25" customHeight="1" x14ac:dyDescent="0.25">
      <c r="A3" s="96" t="s">
        <v>23</v>
      </c>
      <c r="B3" s="118">
        <v>924.1</v>
      </c>
      <c r="C3" s="119"/>
      <c r="D3" s="120">
        <v>1100.55</v>
      </c>
      <c r="E3" s="121"/>
      <c r="F3" s="118">
        <v>1092.74</v>
      </c>
      <c r="G3" s="119"/>
      <c r="H3" s="120">
        <v>1042.46</v>
      </c>
      <c r="I3" s="133"/>
      <c r="J3" s="2"/>
    </row>
    <row r="4" spans="1:10" x14ac:dyDescent="0.25">
      <c r="A4" s="96" t="s">
        <v>24</v>
      </c>
      <c r="B4" s="118">
        <v>785.49</v>
      </c>
      <c r="C4" s="119"/>
      <c r="D4" s="120">
        <v>935.46</v>
      </c>
      <c r="E4" s="121"/>
      <c r="F4" s="118">
        <v>928.82</v>
      </c>
      <c r="G4" s="119"/>
      <c r="H4" s="120">
        <v>886.09</v>
      </c>
      <c r="I4" s="133"/>
      <c r="J4" s="2"/>
    </row>
    <row r="5" spans="1:10" x14ac:dyDescent="0.25">
      <c r="A5" s="96" t="s">
        <v>25</v>
      </c>
      <c r="B5" s="118">
        <v>1316.84</v>
      </c>
      <c r="C5" s="119"/>
      <c r="D5" s="120">
        <v>1568.29</v>
      </c>
      <c r="E5" s="121"/>
      <c r="F5" s="118">
        <v>1557.16</v>
      </c>
      <c r="G5" s="119"/>
      <c r="H5" s="120">
        <v>1485.51</v>
      </c>
      <c r="I5" s="133"/>
      <c r="J5" s="2"/>
    </row>
    <row r="6" spans="1:10" ht="72" customHeight="1" x14ac:dyDescent="0.25">
      <c r="A6" s="96" t="s">
        <v>43</v>
      </c>
      <c r="B6" s="81" t="s">
        <v>247</v>
      </c>
      <c r="C6" s="82" t="s">
        <v>218</v>
      </c>
      <c r="D6" s="81" t="s">
        <v>45</v>
      </c>
      <c r="E6" s="82" t="s">
        <v>31</v>
      </c>
      <c r="F6" s="81" t="s">
        <v>45</v>
      </c>
      <c r="G6" s="82" t="s">
        <v>31</v>
      </c>
      <c r="H6" s="81" t="s">
        <v>45</v>
      </c>
      <c r="I6" s="89" t="s">
        <v>31</v>
      </c>
      <c r="J6" s="7"/>
    </row>
    <row r="7" spans="1:10" ht="18" x14ac:dyDescent="0.25">
      <c r="A7" s="96" t="s">
        <v>47</v>
      </c>
      <c r="B7" s="81" t="s">
        <v>565</v>
      </c>
      <c r="C7" s="82" t="s">
        <v>218</v>
      </c>
      <c r="D7" s="81" t="s">
        <v>45</v>
      </c>
      <c r="E7" s="82" t="s">
        <v>31</v>
      </c>
      <c r="F7" s="81" t="s">
        <v>45</v>
      </c>
      <c r="G7" s="82" t="s">
        <v>31</v>
      </c>
      <c r="H7" s="81" t="s">
        <v>45</v>
      </c>
      <c r="I7" s="89" t="s">
        <v>31</v>
      </c>
      <c r="J7" s="7"/>
    </row>
    <row r="8" spans="1:10" x14ac:dyDescent="0.25">
      <c r="A8" s="96" t="s">
        <v>50</v>
      </c>
      <c r="B8" s="81" t="s">
        <v>566</v>
      </c>
      <c r="C8" s="82" t="s">
        <v>53</v>
      </c>
      <c r="D8" s="81" t="s">
        <v>51</v>
      </c>
      <c r="E8" s="82" t="s">
        <v>52</v>
      </c>
      <c r="F8" s="81" t="s">
        <v>51</v>
      </c>
      <c r="G8" s="82" t="s">
        <v>52</v>
      </c>
      <c r="H8" s="81" t="s">
        <v>51</v>
      </c>
      <c r="I8" s="89" t="s">
        <v>52</v>
      </c>
      <c r="J8" s="7"/>
    </row>
    <row r="9" spans="1:10" ht="18" x14ac:dyDescent="0.25">
      <c r="A9" s="128" t="s">
        <v>54</v>
      </c>
      <c r="B9" s="113" t="s">
        <v>567</v>
      </c>
      <c r="C9" s="82" t="s">
        <v>347</v>
      </c>
      <c r="D9" s="113" t="s">
        <v>568</v>
      </c>
      <c r="E9" s="82" t="s">
        <v>347</v>
      </c>
      <c r="F9" s="113" t="s">
        <v>569</v>
      </c>
      <c r="G9" s="82" t="s">
        <v>347</v>
      </c>
      <c r="H9" s="113" t="s">
        <v>570</v>
      </c>
      <c r="I9" s="89" t="s">
        <v>347</v>
      </c>
      <c r="J9" s="138"/>
    </row>
    <row r="10" spans="1:10" x14ac:dyDescent="0.25">
      <c r="A10" s="128"/>
      <c r="B10" s="113"/>
      <c r="C10" s="82" t="s">
        <v>352</v>
      </c>
      <c r="D10" s="113"/>
      <c r="E10" s="82" t="s">
        <v>348</v>
      </c>
      <c r="F10" s="113"/>
      <c r="G10" s="82" t="s">
        <v>348</v>
      </c>
      <c r="H10" s="113"/>
      <c r="I10" s="89" t="s">
        <v>348</v>
      </c>
      <c r="J10" s="138"/>
    </row>
    <row r="11" spans="1:10" x14ac:dyDescent="0.25">
      <c r="A11" s="128"/>
      <c r="B11" s="113"/>
      <c r="C11" s="82" t="s">
        <v>353</v>
      </c>
      <c r="D11" s="113"/>
      <c r="E11" s="82" t="s">
        <v>349</v>
      </c>
      <c r="F11" s="113"/>
      <c r="G11" s="82" t="s">
        <v>349</v>
      </c>
      <c r="H11" s="113"/>
      <c r="I11" s="89" t="s">
        <v>349</v>
      </c>
      <c r="J11" s="138"/>
    </row>
    <row r="12" spans="1:10" x14ac:dyDescent="0.25">
      <c r="A12" s="128" t="s">
        <v>60</v>
      </c>
      <c r="B12" s="81" t="s">
        <v>571</v>
      </c>
      <c r="C12" s="82" t="s">
        <v>352</v>
      </c>
      <c r="D12" s="81" t="s">
        <v>573</v>
      </c>
      <c r="E12" s="82" t="s">
        <v>352</v>
      </c>
      <c r="F12" s="81" t="s">
        <v>573</v>
      </c>
      <c r="G12" s="82" t="s">
        <v>352</v>
      </c>
      <c r="H12" s="81" t="s">
        <v>573</v>
      </c>
      <c r="I12" s="89" t="s">
        <v>352</v>
      </c>
      <c r="J12" s="138"/>
    </row>
    <row r="13" spans="1:10" x14ac:dyDescent="0.25">
      <c r="A13" s="128"/>
      <c r="B13" s="81" t="s">
        <v>572</v>
      </c>
      <c r="C13" s="82" t="s">
        <v>353</v>
      </c>
      <c r="D13" s="81" t="s">
        <v>574</v>
      </c>
      <c r="E13" s="82" t="s">
        <v>353</v>
      </c>
      <c r="F13" s="81" t="s">
        <v>574</v>
      </c>
      <c r="G13" s="82" t="s">
        <v>353</v>
      </c>
      <c r="H13" s="81" t="s">
        <v>574</v>
      </c>
      <c r="I13" s="89" t="s">
        <v>353</v>
      </c>
      <c r="J13" s="138"/>
    </row>
    <row r="14" spans="1:10" ht="18" x14ac:dyDescent="0.25">
      <c r="A14" s="96" t="s">
        <v>71</v>
      </c>
      <c r="B14" s="81" t="s">
        <v>70</v>
      </c>
      <c r="C14" s="82" t="s">
        <v>218</v>
      </c>
      <c r="D14" s="81" t="s">
        <v>70</v>
      </c>
      <c r="E14" s="82" t="s">
        <v>31</v>
      </c>
      <c r="F14" s="81" t="s">
        <v>70</v>
      </c>
      <c r="G14" s="82" t="s">
        <v>31</v>
      </c>
      <c r="H14" s="81" t="s">
        <v>70</v>
      </c>
      <c r="I14" s="89" t="s">
        <v>31</v>
      </c>
      <c r="J14" s="7"/>
    </row>
    <row r="15" spans="1:10" ht="18" x14ac:dyDescent="0.25">
      <c r="A15" s="127" t="s">
        <v>75</v>
      </c>
      <c r="B15" s="83" t="s">
        <v>70</v>
      </c>
      <c r="C15" s="89" t="s">
        <v>218</v>
      </c>
      <c r="D15" s="83" t="s">
        <v>70</v>
      </c>
      <c r="E15" s="89" t="s">
        <v>31</v>
      </c>
      <c r="F15" s="83" t="s">
        <v>70</v>
      </c>
      <c r="G15" s="89" t="s">
        <v>31</v>
      </c>
      <c r="H15" s="83" t="s">
        <v>70</v>
      </c>
      <c r="I15" s="89" t="s">
        <v>31</v>
      </c>
      <c r="J15" s="7"/>
    </row>
    <row r="16" spans="1:10" ht="18" x14ac:dyDescent="0.25">
      <c r="A16" s="96" t="s">
        <v>76</v>
      </c>
      <c r="B16" s="81" t="s">
        <v>70</v>
      </c>
      <c r="C16" s="82" t="s">
        <v>218</v>
      </c>
      <c r="D16" s="81" t="s">
        <v>70</v>
      </c>
      <c r="E16" s="82" t="s">
        <v>31</v>
      </c>
      <c r="F16" s="81" t="s">
        <v>70</v>
      </c>
      <c r="G16" s="82" t="s">
        <v>31</v>
      </c>
      <c r="H16" s="81" t="s">
        <v>70</v>
      </c>
      <c r="I16" s="89" t="s">
        <v>31</v>
      </c>
      <c r="J16" s="7"/>
    </row>
    <row r="17" spans="1:10" ht="18" x14ac:dyDescent="0.25">
      <c r="A17" s="96" t="s">
        <v>83</v>
      </c>
      <c r="B17" s="81" t="s">
        <v>70</v>
      </c>
      <c r="C17" s="82" t="s">
        <v>218</v>
      </c>
      <c r="D17" s="81" t="s">
        <v>84</v>
      </c>
      <c r="E17" s="82" t="s">
        <v>31</v>
      </c>
      <c r="F17" s="81" t="s">
        <v>84</v>
      </c>
      <c r="G17" s="82" t="s">
        <v>31</v>
      </c>
      <c r="H17" s="81" t="s">
        <v>84</v>
      </c>
      <c r="I17" s="89" t="s">
        <v>31</v>
      </c>
      <c r="J17" s="7"/>
    </row>
    <row r="18" spans="1:10" ht="14.25" customHeight="1" x14ac:dyDescent="0.25">
      <c r="A18" s="96" t="s">
        <v>85</v>
      </c>
      <c r="B18" s="81" t="s">
        <v>565</v>
      </c>
      <c r="C18" s="82" t="s">
        <v>218</v>
      </c>
      <c r="D18" s="81" t="s">
        <v>45</v>
      </c>
      <c r="E18" s="82" t="s">
        <v>31</v>
      </c>
      <c r="F18" s="81" t="s">
        <v>45</v>
      </c>
      <c r="G18" s="82" t="s">
        <v>31</v>
      </c>
      <c r="H18" s="81" t="s">
        <v>45</v>
      </c>
      <c r="I18" s="89" t="s">
        <v>31</v>
      </c>
      <c r="J18" s="7"/>
    </row>
    <row r="19" spans="1:10" ht="27" customHeight="1" x14ac:dyDescent="0.25">
      <c r="A19" s="96" t="s">
        <v>94</v>
      </c>
      <c r="B19" s="81" t="s">
        <v>247</v>
      </c>
      <c r="C19" s="82" t="s">
        <v>218</v>
      </c>
      <c r="D19" s="81" t="s">
        <v>45</v>
      </c>
      <c r="E19" s="82" t="s">
        <v>31</v>
      </c>
      <c r="F19" s="81" t="s">
        <v>45</v>
      </c>
      <c r="G19" s="82" t="s">
        <v>31</v>
      </c>
      <c r="H19" s="81" t="s">
        <v>45</v>
      </c>
      <c r="I19" s="89" t="s">
        <v>31</v>
      </c>
      <c r="J19" s="7"/>
    </row>
    <row r="20" spans="1:10" ht="18" x14ac:dyDescent="0.25">
      <c r="A20" s="96" t="s">
        <v>98</v>
      </c>
      <c r="B20" s="81" t="s">
        <v>247</v>
      </c>
      <c r="C20" s="82" t="s">
        <v>218</v>
      </c>
      <c r="D20" s="81" t="s">
        <v>45</v>
      </c>
      <c r="E20" s="82" t="s">
        <v>31</v>
      </c>
      <c r="F20" s="81" t="s">
        <v>45</v>
      </c>
      <c r="G20" s="82" t="s">
        <v>31</v>
      </c>
      <c r="H20" s="81" t="s">
        <v>45</v>
      </c>
      <c r="I20" s="89" t="s">
        <v>31</v>
      </c>
      <c r="J20" s="7"/>
    </row>
    <row r="21" spans="1:10" ht="18" x14ac:dyDescent="0.25">
      <c r="A21" s="96" t="s">
        <v>100</v>
      </c>
      <c r="B21" s="81" t="s">
        <v>565</v>
      </c>
      <c r="C21" s="82" t="s">
        <v>218</v>
      </c>
      <c r="D21" s="81" t="s">
        <v>45</v>
      </c>
      <c r="E21" s="82" t="s">
        <v>31</v>
      </c>
      <c r="F21" s="81" t="s">
        <v>45</v>
      </c>
      <c r="G21" s="82" t="s">
        <v>31</v>
      </c>
      <c r="H21" s="81" t="s">
        <v>45</v>
      </c>
      <c r="I21" s="89" t="s">
        <v>31</v>
      </c>
      <c r="J21" s="7"/>
    </row>
    <row r="22" spans="1:10" ht="18" customHeight="1" x14ac:dyDescent="0.25">
      <c r="A22" s="99" t="s">
        <v>103</v>
      </c>
      <c r="B22" s="93" t="s">
        <v>104</v>
      </c>
      <c r="C22" s="94" t="s">
        <v>218</v>
      </c>
      <c r="D22" s="93" t="s">
        <v>104</v>
      </c>
      <c r="E22" s="94" t="s">
        <v>31</v>
      </c>
      <c r="F22" s="93" t="s">
        <v>104</v>
      </c>
      <c r="G22" s="94" t="s">
        <v>31</v>
      </c>
      <c r="H22" s="93" t="s">
        <v>104</v>
      </c>
      <c r="I22" s="91" t="s">
        <v>31</v>
      </c>
      <c r="J22" s="7"/>
    </row>
    <row r="23" spans="1:10" ht="36" customHeight="1" x14ac:dyDescent="0.25">
      <c r="A23" s="104" t="s">
        <v>110</v>
      </c>
      <c r="B23" s="144" t="s">
        <v>576</v>
      </c>
      <c r="C23" s="153" t="s">
        <v>112</v>
      </c>
      <c r="D23" s="90" t="s">
        <v>577</v>
      </c>
      <c r="E23" s="153" t="s">
        <v>112</v>
      </c>
      <c r="F23" s="90" t="s">
        <v>577</v>
      </c>
      <c r="G23" s="153" t="s">
        <v>112</v>
      </c>
      <c r="H23" s="90" t="s">
        <v>579</v>
      </c>
      <c r="I23" s="149" t="s">
        <v>112</v>
      </c>
      <c r="J23" s="138"/>
    </row>
    <row r="24" spans="1:10" ht="27" customHeight="1" x14ac:dyDescent="0.25">
      <c r="A24" s="128"/>
      <c r="B24" s="113"/>
      <c r="C24" s="116"/>
      <c r="D24" s="81" t="s">
        <v>578</v>
      </c>
      <c r="E24" s="116"/>
      <c r="F24" s="81" t="s">
        <v>578</v>
      </c>
      <c r="G24" s="116"/>
      <c r="H24" s="81" t="s">
        <v>578</v>
      </c>
      <c r="I24" s="135"/>
      <c r="J24" s="138"/>
    </row>
    <row r="25" spans="1:10" ht="14.25" customHeight="1" x14ac:dyDescent="0.25">
      <c r="A25" s="127" t="s">
        <v>131</v>
      </c>
      <c r="B25" s="83" t="s">
        <v>584</v>
      </c>
      <c r="C25" s="89" t="s">
        <v>584</v>
      </c>
      <c r="D25" s="83" t="s">
        <v>45</v>
      </c>
      <c r="E25" s="89" t="s">
        <v>45</v>
      </c>
      <c r="F25" s="83" t="s">
        <v>45</v>
      </c>
      <c r="G25" s="89" t="s">
        <v>45</v>
      </c>
      <c r="H25" s="83" t="s">
        <v>45</v>
      </c>
      <c r="I25" s="89" t="s">
        <v>45</v>
      </c>
      <c r="J25" s="7"/>
    </row>
    <row r="26" spans="1:10" ht="18" x14ac:dyDescent="0.25">
      <c r="A26" s="96" t="s">
        <v>134</v>
      </c>
      <c r="B26" s="9" t="s">
        <v>565</v>
      </c>
      <c r="C26" s="3" t="s">
        <v>218</v>
      </c>
      <c r="D26" s="9" t="s">
        <v>45</v>
      </c>
      <c r="E26" s="3" t="s">
        <v>31</v>
      </c>
      <c r="F26" s="9" t="s">
        <v>45</v>
      </c>
      <c r="G26" s="3" t="s">
        <v>31</v>
      </c>
      <c r="H26" s="9" t="s">
        <v>45</v>
      </c>
      <c r="I26" s="3" t="s">
        <v>31</v>
      </c>
      <c r="J26" s="7"/>
    </row>
    <row r="27" spans="1:10" ht="18" x14ac:dyDescent="0.25">
      <c r="A27" s="96" t="s">
        <v>135</v>
      </c>
      <c r="B27" s="9" t="s">
        <v>584</v>
      </c>
      <c r="C27" s="3" t="s">
        <v>584</v>
      </c>
      <c r="D27" s="9" t="s">
        <v>45</v>
      </c>
      <c r="E27" s="3" t="s">
        <v>45</v>
      </c>
      <c r="F27" s="9" t="s">
        <v>45</v>
      </c>
      <c r="G27" s="3" t="s">
        <v>45</v>
      </c>
      <c r="H27" s="9" t="s">
        <v>45</v>
      </c>
      <c r="I27" s="3" t="s">
        <v>45</v>
      </c>
      <c r="J27" s="7"/>
    </row>
    <row r="28" spans="1:10" ht="18" x14ac:dyDescent="0.25">
      <c r="A28" s="96" t="s">
        <v>94</v>
      </c>
      <c r="B28" s="9" t="s">
        <v>247</v>
      </c>
      <c r="C28" s="3" t="s">
        <v>450</v>
      </c>
      <c r="D28" s="9" t="s">
        <v>585</v>
      </c>
      <c r="E28" s="3" t="s">
        <v>586</v>
      </c>
      <c r="F28" s="9" t="s">
        <v>585</v>
      </c>
      <c r="G28" s="3" t="s">
        <v>586</v>
      </c>
      <c r="H28" s="9" t="s">
        <v>585</v>
      </c>
      <c r="I28" s="3" t="s">
        <v>586</v>
      </c>
      <c r="J28" s="7"/>
    </row>
    <row r="29" spans="1:10" x14ac:dyDescent="0.25">
      <c r="A29" s="100"/>
      <c r="B29" s="13"/>
      <c r="C29" s="3" t="s">
        <v>166</v>
      </c>
      <c r="D29" s="9" t="s">
        <v>166</v>
      </c>
      <c r="E29" s="3" t="s">
        <v>166</v>
      </c>
      <c r="F29" s="9" t="s">
        <v>166</v>
      </c>
      <c r="G29" s="3" t="s">
        <v>166</v>
      </c>
      <c r="H29" s="9" t="s">
        <v>166</v>
      </c>
      <c r="I29" s="3" t="s">
        <v>166</v>
      </c>
      <c r="J29" s="7"/>
    </row>
    <row r="30" spans="1:10" ht="14.25" customHeight="1" x14ac:dyDescent="0.25">
      <c r="A30" s="99" t="s">
        <v>141</v>
      </c>
      <c r="B30" s="11" t="s">
        <v>408</v>
      </c>
      <c r="C30" s="10" t="s">
        <v>218</v>
      </c>
      <c r="D30" s="11" t="s">
        <v>45</v>
      </c>
      <c r="E30" s="10" t="s">
        <v>31</v>
      </c>
      <c r="F30" s="11" t="s">
        <v>45</v>
      </c>
      <c r="G30" s="10" t="s">
        <v>31</v>
      </c>
      <c r="H30" s="11" t="s">
        <v>45</v>
      </c>
      <c r="I30" s="10" t="s">
        <v>31</v>
      </c>
      <c r="J30" s="86"/>
    </row>
    <row r="31" spans="1:10" ht="18" x14ac:dyDescent="0.25">
      <c r="A31" s="140" t="s">
        <v>98</v>
      </c>
      <c r="B31" s="88" t="s">
        <v>247</v>
      </c>
      <c r="C31" s="87" t="s">
        <v>218</v>
      </c>
      <c r="D31" s="88" t="s">
        <v>45</v>
      </c>
      <c r="E31" s="87" t="s">
        <v>31</v>
      </c>
      <c r="F31" s="88" t="s">
        <v>45</v>
      </c>
      <c r="G31" s="87" t="s">
        <v>31</v>
      </c>
      <c r="H31" s="88" t="s">
        <v>45</v>
      </c>
      <c r="I31" s="87" t="s">
        <v>31</v>
      </c>
      <c r="J31" s="86"/>
    </row>
    <row r="32" spans="1:10" ht="18" x14ac:dyDescent="0.25">
      <c r="A32" s="98" t="s">
        <v>143</v>
      </c>
      <c r="B32" s="12" t="s">
        <v>565</v>
      </c>
      <c r="C32" s="15" t="s">
        <v>218</v>
      </c>
      <c r="D32" s="12" t="s">
        <v>45</v>
      </c>
      <c r="E32" s="15" t="s">
        <v>31</v>
      </c>
      <c r="F32" s="12" t="s">
        <v>45</v>
      </c>
      <c r="G32" s="15" t="s">
        <v>31</v>
      </c>
      <c r="H32" s="12" t="s">
        <v>45</v>
      </c>
      <c r="I32" s="15" t="s">
        <v>31</v>
      </c>
      <c r="J32" s="86"/>
    </row>
    <row r="33" spans="1:10" ht="36" x14ac:dyDescent="0.25">
      <c r="A33" s="99" t="s">
        <v>145</v>
      </c>
      <c r="B33" s="11" t="s">
        <v>587</v>
      </c>
      <c r="C33" s="10" t="s">
        <v>382</v>
      </c>
      <c r="D33" s="11" t="s">
        <v>146</v>
      </c>
      <c r="E33" s="10" t="s">
        <v>120</v>
      </c>
      <c r="F33" s="11" t="s">
        <v>146</v>
      </c>
      <c r="G33" s="10" t="s">
        <v>120</v>
      </c>
      <c r="H33" s="11" t="s">
        <v>146</v>
      </c>
      <c r="I33" s="10" t="s">
        <v>120</v>
      </c>
      <c r="J33" s="86"/>
    </row>
    <row r="34" spans="1:10" ht="18" x14ac:dyDescent="0.25">
      <c r="A34" s="104" t="s">
        <v>147</v>
      </c>
      <c r="B34" s="12" t="s">
        <v>588</v>
      </c>
      <c r="C34" s="109" t="s">
        <v>218</v>
      </c>
      <c r="D34" s="107" t="s">
        <v>45</v>
      </c>
      <c r="E34" s="109" t="s">
        <v>31</v>
      </c>
      <c r="F34" s="107" t="s">
        <v>45</v>
      </c>
      <c r="G34" s="109" t="s">
        <v>31</v>
      </c>
      <c r="H34" s="107" t="s">
        <v>45</v>
      </c>
      <c r="I34" s="109" t="s">
        <v>31</v>
      </c>
      <c r="J34" s="110"/>
    </row>
    <row r="35" spans="1:10" x14ac:dyDescent="0.25">
      <c r="A35" s="128"/>
      <c r="B35" s="9" t="s">
        <v>247</v>
      </c>
      <c r="C35" s="134"/>
      <c r="D35" s="132"/>
      <c r="E35" s="134"/>
      <c r="F35" s="132"/>
      <c r="G35" s="134"/>
      <c r="H35" s="132"/>
      <c r="I35" s="134"/>
      <c r="J35" s="138"/>
    </row>
    <row r="36" spans="1:10" ht="36" x14ac:dyDescent="0.25">
      <c r="A36" s="127" t="s">
        <v>149</v>
      </c>
      <c r="B36" s="83" t="s">
        <v>587</v>
      </c>
      <c r="C36" s="89" t="s">
        <v>382</v>
      </c>
      <c r="D36" s="83" t="s">
        <v>146</v>
      </c>
      <c r="E36" s="89" t="s">
        <v>120</v>
      </c>
      <c r="F36" s="83" t="s">
        <v>146</v>
      </c>
      <c r="G36" s="89" t="s">
        <v>120</v>
      </c>
      <c r="H36" s="83" t="s">
        <v>146</v>
      </c>
      <c r="I36" s="89" t="s">
        <v>120</v>
      </c>
      <c r="J36" s="7"/>
    </row>
    <row r="37" spans="1:10" ht="18" x14ac:dyDescent="0.25">
      <c r="A37" s="128" t="s">
        <v>150</v>
      </c>
      <c r="B37" s="9" t="s">
        <v>588</v>
      </c>
      <c r="C37" s="134" t="s">
        <v>218</v>
      </c>
      <c r="D37" s="132" t="s">
        <v>45</v>
      </c>
      <c r="E37" s="134" t="s">
        <v>31</v>
      </c>
      <c r="F37" s="132" t="s">
        <v>45</v>
      </c>
      <c r="G37" s="134" t="s">
        <v>31</v>
      </c>
      <c r="H37" s="132" t="s">
        <v>45</v>
      </c>
      <c r="I37" s="134" t="s">
        <v>31</v>
      </c>
      <c r="J37" s="138"/>
    </row>
    <row r="38" spans="1:10" x14ac:dyDescent="0.25">
      <c r="A38" s="128"/>
      <c r="B38" s="9" t="s">
        <v>247</v>
      </c>
      <c r="C38" s="134"/>
      <c r="D38" s="132"/>
      <c r="E38" s="134"/>
      <c r="F38" s="132"/>
      <c r="G38" s="134"/>
      <c r="H38" s="132"/>
      <c r="I38" s="134"/>
      <c r="J38" s="138"/>
    </row>
    <row r="39" spans="1:10" ht="54" x14ac:dyDescent="0.25">
      <c r="A39" s="96" t="s">
        <v>167</v>
      </c>
      <c r="B39" s="9" t="s">
        <v>592</v>
      </c>
      <c r="C39" s="3" t="s">
        <v>406</v>
      </c>
      <c r="D39" s="9" t="s">
        <v>170</v>
      </c>
      <c r="E39" s="3" t="s">
        <v>169</v>
      </c>
      <c r="F39" s="9" t="s">
        <v>170</v>
      </c>
      <c r="G39" s="3" t="s">
        <v>169</v>
      </c>
      <c r="H39" s="9" t="s">
        <v>170</v>
      </c>
      <c r="I39" s="3" t="s">
        <v>169</v>
      </c>
      <c r="J39" s="7"/>
    </row>
    <row r="40" spans="1:10" ht="18" x14ac:dyDescent="0.25">
      <c r="A40" s="96" t="s">
        <v>172</v>
      </c>
      <c r="B40" s="9" t="s">
        <v>173</v>
      </c>
      <c r="C40" s="3" t="s">
        <v>173</v>
      </c>
      <c r="D40" s="9" t="s">
        <v>173</v>
      </c>
      <c r="E40" s="3" t="s">
        <v>173</v>
      </c>
      <c r="F40" s="9" t="s">
        <v>173</v>
      </c>
      <c r="G40" s="3" t="s">
        <v>173</v>
      </c>
      <c r="H40" s="9" t="s">
        <v>173</v>
      </c>
      <c r="I40" s="3" t="s">
        <v>173</v>
      </c>
      <c r="J40" s="7"/>
    </row>
    <row r="41" spans="1:10" ht="18" x14ac:dyDescent="0.25">
      <c r="A41" s="96" t="s">
        <v>175</v>
      </c>
      <c r="B41" s="9" t="s">
        <v>247</v>
      </c>
      <c r="C41" s="3" t="s">
        <v>218</v>
      </c>
      <c r="D41" s="9" t="s">
        <v>45</v>
      </c>
      <c r="E41" s="3" t="s">
        <v>31</v>
      </c>
      <c r="F41" s="9" t="s">
        <v>45</v>
      </c>
      <c r="G41" s="3" t="s">
        <v>31</v>
      </c>
      <c r="H41" s="9" t="s">
        <v>45</v>
      </c>
      <c r="I41" s="3" t="s">
        <v>31</v>
      </c>
      <c r="J41" s="7"/>
    </row>
    <row r="42" spans="1:10" ht="27" x14ac:dyDescent="0.25">
      <c r="A42" s="96" t="s">
        <v>181</v>
      </c>
      <c r="B42" s="9" t="s">
        <v>182</v>
      </c>
      <c r="C42" s="3" t="s">
        <v>419</v>
      </c>
      <c r="D42" s="9" t="s">
        <v>184</v>
      </c>
      <c r="E42" s="3" t="s">
        <v>183</v>
      </c>
      <c r="F42" s="9" t="s">
        <v>184</v>
      </c>
      <c r="G42" s="3" t="s">
        <v>183</v>
      </c>
      <c r="H42" s="9" t="s">
        <v>184</v>
      </c>
      <c r="I42" s="3" t="s">
        <v>183</v>
      </c>
      <c r="J42" s="7"/>
    </row>
    <row r="43" spans="1:10" ht="18" x14ac:dyDescent="0.25">
      <c r="A43" s="128" t="s">
        <v>186</v>
      </c>
      <c r="B43" s="9" t="s">
        <v>187</v>
      </c>
      <c r="C43" s="3" t="s">
        <v>187</v>
      </c>
      <c r="D43" s="9" t="s">
        <v>187</v>
      </c>
      <c r="E43" s="3" t="s">
        <v>187</v>
      </c>
      <c r="F43" s="9" t="s">
        <v>187</v>
      </c>
      <c r="G43" s="3" t="s">
        <v>187</v>
      </c>
      <c r="H43" s="9" t="s">
        <v>187</v>
      </c>
      <c r="I43" s="3" t="s">
        <v>187</v>
      </c>
      <c r="J43" s="138"/>
    </row>
    <row r="44" spans="1:10" x14ac:dyDescent="0.25">
      <c r="A44" s="128"/>
      <c r="B44" s="9" t="s">
        <v>188</v>
      </c>
      <c r="C44" s="3" t="s">
        <v>188</v>
      </c>
      <c r="D44" s="9" t="s">
        <v>188</v>
      </c>
      <c r="E44" s="3" t="s">
        <v>188</v>
      </c>
      <c r="F44" s="9" t="s">
        <v>188</v>
      </c>
      <c r="G44" s="3" t="s">
        <v>188</v>
      </c>
      <c r="H44" s="9" t="s">
        <v>188</v>
      </c>
      <c r="I44" s="3" t="s">
        <v>188</v>
      </c>
      <c r="J44" s="138"/>
    </row>
    <row r="45" spans="1:10" ht="27" x14ac:dyDescent="0.25">
      <c r="A45" s="128" t="s">
        <v>196</v>
      </c>
      <c r="B45" s="9" t="s">
        <v>594</v>
      </c>
      <c r="C45" s="3" t="s">
        <v>198</v>
      </c>
      <c r="D45" s="9" t="s">
        <v>482</v>
      </c>
      <c r="E45" s="3" t="s">
        <v>482</v>
      </c>
      <c r="F45" s="9" t="s">
        <v>482</v>
      </c>
      <c r="G45" s="3" t="s">
        <v>482</v>
      </c>
      <c r="H45" s="9" t="s">
        <v>482</v>
      </c>
      <c r="I45" s="3" t="s">
        <v>482</v>
      </c>
      <c r="J45" s="138"/>
    </row>
    <row r="46" spans="1:10" ht="45" x14ac:dyDescent="0.25">
      <c r="A46" s="97"/>
      <c r="B46" s="11" t="s">
        <v>595</v>
      </c>
      <c r="C46" s="10" t="s">
        <v>199</v>
      </c>
      <c r="D46" s="11" t="s">
        <v>596</v>
      </c>
      <c r="E46" s="10" t="s">
        <v>596</v>
      </c>
      <c r="F46" s="11" t="s">
        <v>596</v>
      </c>
      <c r="G46" s="10" t="s">
        <v>596</v>
      </c>
      <c r="H46" s="11" t="s">
        <v>596</v>
      </c>
      <c r="I46" s="10" t="s">
        <v>596</v>
      </c>
      <c r="J46" s="138"/>
    </row>
    <row r="47" spans="1:10" x14ac:dyDescent="0.25">
      <c r="A47" s="128"/>
      <c r="B47" s="9"/>
      <c r="C47" s="3"/>
      <c r="D47" s="9" t="s">
        <v>166</v>
      </c>
      <c r="E47" s="3" t="s">
        <v>597</v>
      </c>
      <c r="F47" s="9" t="s">
        <v>166</v>
      </c>
      <c r="G47" s="3" t="s">
        <v>597</v>
      </c>
      <c r="H47" s="9" t="s">
        <v>166</v>
      </c>
      <c r="I47" s="3" t="s">
        <v>597</v>
      </c>
      <c r="J47" s="138"/>
    </row>
    <row r="48" spans="1:10" x14ac:dyDescent="0.25">
      <c r="A48" s="129" t="s">
        <v>3</v>
      </c>
      <c r="B48" s="129"/>
      <c r="C48" s="129"/>
      <c r="D48" s="129"/>
      <c r="E48" s="129"/>
      <c r="F48" s="129"/>
      <c r="G48" s="129"/>
      <c r="H48" s="129"/>
      <c r="I48" s="129"/>
      <c r="J48" s="2"/>
    </row>
    <row r="49" spans="1:10" ht="18" x14ac:dyDescent="0.25">
      <c r="A49" s="3" t="s">
        <v>4</v>
      </c>
      <c r="B49" s="132" t="s">
        <v>561</v>
      </c>
      <c r="C49" s="132"/>
      <c r="D49" s="134" t="s">
        <v>562</v>
      </c>
      <c r="E49" s="134"/>
      <c r="F49" s="132" t="s">
        <v>563</v>
      </c>
      <c r="G49" s="132"/>
      <c r="H49" s="134" t="s">
        <v>564</v>
      </c>
      <c r="I49" s="134"/>
      <c r="J49" s="2"/>
    </row>
    <row r="50" spans="1:10" x14ac:dyDescent="0.25">
      <c r="A50" s="3" t="s">
        <v>5</v>
      </c>
      <c r="B50" s="132" t="s">
        <v>557</v>
      </c>
      <c r="C50" s="132"/>
      <c r="D50" s="134" t="s">
        <v>558</v>
      </c>
      <c r="E50" s="134"/>
      <c r="F50" s="132" t="s">
        <v>559</v>
      </c>
      <c r="G50" s="132"/>
      <c r="H50" s="134" t="s">
        <v>560</v>
      </c>
      <c r="I50" s="134"/>
      <c r="J50" s="2"/>
    </row>
    <row r="51" spans="1:10" x14ac:dyDescent="0.25">
      <c r="A51" s="3" t="s">
        <v>6</v>
      </c>
      <c r="B51" s="132" t="s">
        <v>7</v>
      </c>
      <c r="C51" s="132"/>
      <c r="D51" s="134" t="s">
        <v>8</v>
      </c>
      <c r="E51" s="134"/>
      <c r="F51" s="132" t="s">
        <v>7</v>
      </c>
      <c r="G51" s="132"/>
      <c r="H51" s="134" t="s">
        <v>8</v>
      </c>
      <c r="I51" s="134"/>
      <c r="J51" s="2"/>
    </row>
    <row r="52" spans="1:10" ht="72" x14ac:dyDescent="0.25">
      <c r="A52" s="3" t="s">
        <v>9</v>
      </c>
      <c r="B52" s="132" t="s">
        <v>10</v>
      </c>
      <c r="C52" s="132"/>
      <c r="D52" s="134" t="s">
        <v>11</v>
      </c>
      <c r="E52" s="134"/>
      <c r="F52" s="132" t="s">
        <v>11</v>
      </c>
      <c r="G52" s="132"/>
      <c r="H52" s="134" t="s">
        <v>11</v>
      </c>
      <c r="I52" s="134"/>
      <c r="J52" s="4"/>
    </row>
    <row r="53" spans="1:10" x14ac:dyDescent="0.25">
      <c r="A53" s="3" t="s">
        <v>12</v>
      </c>
      <c r="B53" s="132" t="s">
        <v>13</v>
      </c>
      <c r="C53" s="132"/>
      <c r="D53" s="134" t="s">
        <v>14</v>
      </c>
      <c r="E53" s="134"/>
      <c r="F53" s="132" t="s">
        <v>14</v>
      </c>
      <c r="G53" s="132"/>
      <c r="H53" s="134" t="s">
        <v>14</v>
      </c>
      <c r="I53" s="134"/>
      <c r="J53" s="2"/>
    </row>
    <row r="54" spans="1:10" x14ac:dyDescent="0.25">
      <c r="A54" s="3" t="s">
        <v>15</v>
      </c>
      <c r="B54" s="132" t="s">
        <v>16</v>
      </c>
      <c r="C54" s="132"/>
      <c r="D54" s="134" t="s">
        <v>17</v>
      </c>
      <c r="E54" s="134"/>
      <c r="F54" s="132" t="s">
        <v>17</v>
      </c>
      <c r="G54" s="132"/>
      <c r="H54" s="134" t="s">
        <v>17</v>
      </c>
      <c r="I54" s="134"/>
      <c r="J54" s="2"/>
    </row>
    <row r="55" spans="1:10" x14ac:dyDescent="0.25">
      <c r="A55" s="3" t="s">
        <v>18</v>
      </c>
      <c r="B55" s="132" t="s">
        <v>19</v>
      </c>
      <c r="C55" s="132"/>
      <c r="D55" s="134" t="s">
        <v>19</v>
      </c>
      <c r="E55" s="134"/>
      <c r="F55" s="132" t="s">
        <v>19</v>
      </c>
      <c r="G55" s="132"/>
      <c r="H55" s="134" t="s">
        <v>19</v>
      </c>
      <c r="I55" s="134"/>
      <c r="J55" s="2"/>
    </row>
    <row r="56" spans="1:10" x14ac:dyDescent="0.25">
      <c r="A56" s="5" t="s">
        <v>20</v>
      </c>
      <c r="B56" s="129" t="s">
        <v>21</v>
      </c>
      <c r="C56" s="129"/>
      <c r="D56" s="129" t="s">
        <v>21</v>
      </c>
      <c r="E56" s="129"/>
      <c r="F56" s="129" t="s">
        <v>21</v>
      </c>
      <c r="G56" s="129"/>
      <c r="H56" s="129" t="s">
        <v>21</v>
      </c>
      <c r="I56" s="129"/>
      <c r="J56" s="2"/>
    </row>
    <row r="57" spans="1:10" x14ac:dyDescent="0.25">
      <c r="A57" s="129" t="s">
        <v>26</v>
      </c>
      <c r="B57" s="129"/>
      <c r="C57" s="129"/>
      <c r="D57" s="129"/>
      <c r="E57" s="129"/>
      <c r="F57" s="129"/>
      <c r="G57" s="129"/>
      <c r="H57" s="129"/>
      <c r="I57" s="129"/>
      <c r="J57" s="2"/>
    </row>
    <row r="58" spans="1:10" ht="18" x14ac:dyDescent="0.25">
      <c r="A58" s="3" t="s">
        <v>27</v>
      </c>
      <c r="B58" s="132" t="s">
        <v>28</v>
      </c>
      <c r="C58" s="132"/>
      <c r="D58" s="134" t="s">
        <v>28</v>
      </c>
      <c r="E58" s="134"/>
      <c r="F58" s="132" t="s">
        <v>28</v>
      </c>
      <c r="G58" s="132"/>
      <c r="H58" s="134" t="s">
        <v>28</v>
      </c>
      <c r="I58" s="134"/>
      <c r="J58" s="6"/>
    </row>
    <row r="59" spans="1:10" x14ac:dyDescent="0.25">
      <c r="A59" s="3" t="s">
        <v>29</v>
      </c>
      <c r="B59" s="132" t="s">
        <v>28</v>
      </c>
      <c r="C59" s="132"/>
      <c r="D59" s="134" t="s">
        <v>28</v>
      </c>
      <c r="E59" s="134"/>
      <c r="F59" s="132" t="s">
        <v>28</v>
      </c>
      <c r="G59" s="132"/>
      <c r="H59" s="134" t="s">
        <v>28</v>
      </c>
      <c r="I59" s="134"/>
      <c r="J59" s="2"/>
    </row>
    <row r="60" spans="1:10" ht="18" x14ac:dyDescent="0.25">
      <c r="A60" s="3" t="s">
        <v>30</v>
      </c>
      <c r="B60" s="132" t="s">
        <v>218</v>
      </c>
      <c r="C60" s="132"/>
      <c r="D60" s="134" t="s">
        <v>31</v>
      </c>
      <c r="E60" s="134"/>
      <c r="F60" s="132" t="s">
        <v>31</v>
      </c>
      <c r="G60" s="132"/>
      <c r="H60" s="134" t="s">
        <v>31</v>
      </c>
      <c r="I60" s="134"/>
      <c r="J60" s="2"/>
    </row>
    <row r="61" spans="1:10" ht="27" x14ac:dyDescent="0.25">
      <c r="A61" s="3" t="s">
        <v>32</v>
      </c>
      <c r="B61" s="132" t="s">
        <v>33</v>
      </c>
      <c r="C61" s="132"/>
      <c r="D61" s="134" t="s">
        <v>33</v>
      </c>
      <c r="E61" s="134"/>
      <c r="F61" s="132" t="s">
        <v>33</v>
      </c>
      <c r="G61" s="132"/>
      <c r="H61" s="134" t="s">
        <v>33</v>
      </c>
      <c r="I61" s="134"/>
      <c r="J61" s="6"/>
    </row>
    <row r="62" spans="1:10" ht="18" x14ac:dyDescent="0.25">
      <c r="A62" s="3" t="s">
        <v>34</v>
      </c>
      <c r="B62" s="132" t="s">
        <v>35</v>
      </c>
      <c r="C62" s="132"/>
      <c r="D62" s="134" t="s">
        <v>35</v>
      </c>
      <c r="E62" s="134"/>
      <c r="F62" s="132" t="s">
        <v>35</v>
      </c>
      <c r="G62" s="132"/>
      <c r="H62" s="134" t="s">
        <v>35</v>
      </c>
      <c r="I62" s="134"/>
      <c r="J62" s="6"/>
    </row>
    <row r="63" spans="1:10" x14ac:dyDescent="0.25">
      <c r="A63" s="10" t="s">
        <v>36</v>
      </c>
      <c r="B63" s="106" t="s">
        <v>37</v>
      </c>
      <c r="C63" s="106"/>
      <c r="D63" s="108" t="s">
        <v>37</v>
      </c>
      <c r="E63" s="108"/>
      <c r="F63" s="106" t="s">
        <v>37</v>
      </c>
      <c r="G63" s="106"/>
      <c r="H63" s="108" t="s">
        <v>37</v>
      </c>
      <c r="I63" s="108"/>
      <c r="J63" s="137"/>
    </row>
    <row r="64" spans="1:10" ht="27" x14ac:dyDescent="0.25">
      <c r="A64" s="109" t="s">
        <v>38</v>
      </c>
      <c r="B64" s="107" t="s">
        <v>340</v>
      </c>
      <c r="C64" s="107"/>
      <c r="D64" s="159" t="s">
        <v>340</v>
      </c>
      <c r="E64" s="109"/>
      <c r="F64" s="142" t="s">
        <v>340</v>
      </c>
      <c r="G64" s="107"/>
      <c r="H64" s="159" t="s">
        <v>340</v>
      </c>
      <c r="I64" s="109"/>
      <c r="J64" s="103"/>
    </row>
    <row r="65" spans="1:10" ht="36" x14ac:dyDescent="0.25">
      <c r="A65" s="134"/>
      <c r="B65" s="132" t="s">
        <v>341</v>
      </c>
      <c r="C65" s="132"/>
      <c r="D65" s="134" t="s">
        <v>341</v>
      </c>
      <c r="E65" s="134"/>
      <c r="F65" s="132" t="s">
        <v>341</v>
      </c>
      <c r="G65" s="132"/>
      <c r="H65" s="134" t="s">
        <v>341</v>
      </c>
      <c r="I65" s="134"/>
      <c r="J65" s="136"/>
    </row>
    <row r="66" spans="1:10" ht="27" x14ac:dyDescent="0.25">
      <c r="A66" s="18"/>
      <c r="B66" s="132" t="s">
        <v>342</v>
      </c>
      <c r="C66" s="132"/>
      <c r="D66" s="134" t="s">
        <v>342</v>
      </c>
      <c r="E66" s="134"/>
      <c r="F66" s="132" t="s">
        <v>342</v>
      </c>
      <c r="G66" s="132"/>
      <c r="H66" s="134" t="s">
        <v>342</v>
      </c>
      <c r="I66" s="134"/>
      <c r="J66" s="7"/>
    </row>
    <row r="67" spans="1:10" ht="18" x14ac:dyDescent="0.25">
      <c r="A67" s="129" t="s">
        <v>40</v>
      </c>
      <c r="B67" s="129"/>
      <c r="C67" s="129"/>
      <c r="D67" s="129"/>
      <c r="E67" s="129"/>
      <c r="F67" s="129"/>
      <c r="G67" s="129"/>
      <c r="H67" s="129"/>
      <c r="I67" s="129"/>
      <c r="J67" s="7"/>
    </row>
    <row r="68" spans="1:10" ht="18" x14ac:dyDescent="0.25">
      <c r="A68" s="8" t="s">
        <v>40</v>
      </c>
      <c r="B68" s="8" t="s">
        <v>41</v>
      </c>
      <c r="C68" s="8" t="s">
        <v>42</v>
      </c>
      <c r="D68" s="8" t="s">
        <v>41</v>
      </c>
      <c r="E68" s="8" t="s">
        <v>42</v>
      </c>
      <c r="F68" s="8" t="s">
        <v>41</v>
      </c>
      <c r="G68" s="8" t="s">
        <v>42</v>
      </c>
      <c r="H68" s="8" t="s">
        <v>41</v>
      </c>
      <c r="I68" s="8" t="s">
        <v>42</v>
      </c>
      <c r="J68" s="7"/>
    </row>
    <row r="69" spans="1:10" x14ac:dyDescent="0.25">
      <c r="A69" s="3" t="s">
        <v>65</v>
      </c>
      <c r="B69" s="9" t="s">
        <v>66</v>
      </c>
      <c r="C69" s="3" t="s">
        <v>66</v>
      </c>
      <c r="D69" s="9" t="s">
        <v>66</v>
      </c>
      <c r="E69" s="3" t="s">
        <v>66</v>
      </c>
      <c r="F69" s="9" t="s">
        <v>66</v>
      </c>
      <c r="G69" s="3" t="s">
        <v>66</v>
      </c>
      <c r="H69" s="9" t="s">
        <v>66</v>
      </c>
      <c r="I69" s="3" t="s">
        <v>66</v>
      </c>
      <c r="J69" s="7"/>
    </row>
    <row r="70" spans="1:10" x14ac:dyDescent="0.25">
      <c r="A70" s="129" t="s">
        <v>67</v>
      </c>
      <c r="B70" s="129"/>
      <c r="C70" s="129"/>
      <c r="D70" s="129"/>
      <c r="E70" s="129"/>
      <c r="F70" s="129"/>
      <c r="G70" s="129"/>
      <c r="H70" s="129"/>
      <c r="I70" s="129"/>
      <c r="J70" s="7"/>
    </row>
    <row r="71" spans="1:10" ht="18" x14ac:dyDescent="0.25">
      <c r="A71" s="8" t="s">
        <v>68</v>
      </c>
      <c r="B71" s="8" t="s">
        <v>41</v>
      </c>
      <c r="C71" s="8" t="s">
        <v>42</v>
      </c>
      <c r="D71" s="8" t="s">
        <v>41</v>
      </c>
      <c r="E71" s="8" t="s">
        <v>42</v>
      </c>
      <c r="F71" s="8" t="s">
        <v>41</v>
      </c>
      <c r="G71" s="8" t="s">
        <v>42</v>
      </c>
      <c r="H71" s="8" t="s">
        <v>41</v>
      </c>
      <c r="I71" s="8" t="s">
        <v>42</v>
      </c>
      <c r="J71" s="7"/>
    </row>
    <row r="72" spans="1:10" ht="18" x14ac:dyDescent="0.25">
      <c r="A72" s="3" t="s">
        <v>69</v>
      </c>
      <c r="B72" s="9" t="s">
        <v>70</v>
      </c>
      <c r="C72" s="3" t="s">
        <v>218</v>
      </c>
      <c r="D72" s="9" t="s">
        <v>70</v>
      </c>
      <c r="E72" s="3" t="s">
        <v>31</v>
      </c>
      <c r="F72" s="9" t="s">
        <v>70</v>
      </c>
      <c r="G72" s="3" t="s">
        <v>31</v>
      </c>
      <c r="H72" s="9" t="s">
        <v>70</v>
      </c>
      <c r="I72" s="3" t="s">
        <v>31</v>
      </c>
      <c r="J72" s="7"/>
    </row>
    <row r="73" spans="1:10" ht="18" x14ac:dyDescent="0.25">
      <c r="A73" s="3" t="s">
        <v>72</v>
      </c>
      <c r="B73" s="9" t="s">
        <v>70</v>
      </c>
      <c r="C73" s="3" t="s">
        <v>218</v>
      </c>
      <c r="D73" s="9" t="s">
        <v>70</v>
      </c>
      <c r="E73" s="3" t="s">
        <v>31</v>
      </c>
      <c r="F73" s="9" t="s">
        <v>70</v>
      </c>
      <c r="G73" s="3" t="s">
        <v>31</v>
      </c>
      <c r="H73" s="9" t="s">
        <v>70</v>
      </c>
      <c r="I73" s="3" t="s">
        <v>31</v>
      </c>
      <c r="J73" s="7"/>
    </row>
    <row r="74" spans="1:10" ht="18" x14ac:dyDescent="0.25">
      <c r="A74" s="3" t="s">
        <v>73</v>
      </c>
      <c r="B74" s="9" t="s">
        <v>70</v>
      </c>
      <c r="C74" s="3" t="s">
        <v>218</v>
      </c>
      <c r="D74" s="9" t="s">
        <v>70</v>
      </c>
      <c r="E74" s="3" t="s">
        <v>31</v>
      </c>
      <c r="F74" s="9" t="s">
        <v>70</v>
      </c>
      <c r="G74" s="3" t="s">
        <v>31</v>
      </c>
      <c r="H74" s="9" t="s">
        <v>70</v>
      </c>
      <c r="I74" s="3" t="s">
        <v>31</v>
      </c>
      <c r="J74" s="7"/>
    </row>
    <row r="75" spans="1:10" ht="18" x14ac:dyDescent="0.25">
      <c r="A75" s="3" t="s">
        <v>74</v>
      </c>
      <c r="B75" s="9" t="s">
        <v>70</v>
      </c>
      <c r="C75" s="3" t="s">
        <v>218</v>
      </c>
      <c r="D75" s="9" t="s">
        <v>70</v>
      </c>
      <c r="E75" s="3" t="s">
        <v>31</v>
      </c>
      <c r="F75" s="9" t="s">
        <v>70</v>
      </c>
      <c r="G75" s="3" t="s">
        <v>31</v>
      </c>
      <c r="H75" s="9" t="s">
        <v>70</v>
      </c>
      <c r="I75" s="3" t="s">
        <v>31</v>
      </c>
      <c r="J75" s="7"/>
    </row>
    <row r="76" spans="1:10" ht="18" x14ac:dyDescent="0.25">
      <c r="A76" s="3" t="s">
        <v>77</v>
      </c>
      <c r="B76" s="9" t="s">
        <v>78</v>
      </c>
      <c r="C76" s="3" t="s">
        <v>218</v>
      </c>
      <c r="D76" s="9" t="s">
        <v>78</v>
      </c>
      <c r="E76" s="3" t="s">
        <v>31</v>
      </c>
      <c r="F76" s="9" t="s">
        <v>78</v>
      </c>
      <c r="G76" s="3" t="s">
        <v>31</v>
      </c>
      <c r="H76" s="9" t="s">
        <v>78</v>
      </c>
      <c r="I76" s="3" t="s">
        <v>31</v>
      </c>
      <c r="J76" s="7"/>
    </row>
    <row r="77" spans="1:10" x14ac:dyDescent="0.25">
      <c r="A77" s="3" t="s">
        <v>79</v>
      </c>
      <c r="B77" s="9" t="s">
        <v>70</v>
      </c>
      <c r="C77" s="3" t="s">
        <v>363</v>
      </c>
      <c r="D77" s="9" t="s">
        <v>70</v>
      </c>
      <c r="E77" s="3" t="s">
        <v>362</v>
      </c>
      <c r="F77" s="9" t="s">
        <v>70</v>
      </c>
      <c r="G77" s="3" t="s">
        <v>362</v>
      </c>
      <c r="H77" s="9" t="s">
        <v>70</v>
      </c>
      <c r="I77" s="3" t="s">
        <v>362</v>
      </c>
      <c r="J77" s="7"/>
    </row>
    <row r="78" spans="1:10" x14ac:dyDescent="0.25">
      <c r="A78" s="18"/>
      <c r="B78" s="19"/>
      <c r="C78" s="3" t="s">
        <v>222</v>
      </c>
      <c r="D78" s="19"/>
      <c r="E78" s="3" t="s">
        <v>222</v>
      </c>
      <c r="F78" s="19"/>
      <c r="G78" s="3" t="s">
        <v>222</v>
      </c>
      <c r="H78" s="19"/>
      <c r="I78" s="3" t="s">
        <v>222</v>
      </c>
      <c r="J78" s="7"/>
    </row>
    <row r="79" spans="1:10" ht="18" x14ac:dyDescent="0.25">
      <c r="A79" s="8" t="s">
        <v>80</v>
      </c>
      <c r="B79" s="8" t="s">
        <v>41</v>
      </c>
      <c r="C79" s="8" t="s">
        <v>42</v>
      </c>
      <c r="D79" s="8" t="s">
        <v>41</v>
      </c>
      <c r="E79" s="8" t="s">
        <v>42</v>
      </c>
      <c r="F79" s="8" t="s">
        <v>41</v>
      </c>
      <c r="G79" s="8" t="s">
        <v>42</v>
      </c>
      <c r="H79" s="8" t="s">
        <v>41</v>
      </c>
      <c r="I79" s="8" t="s">
        <v>42</v>
      </c>
      <c r="J79" s="7"/>
    </row>
    <row r="80" spans="1:10" ht="18" x14ac:dyDescent="0.25">
      <c r="A80" s="10" t="s">
        <v>81</v>
      </c>
      <c r="B80" s="11" t="s">
        <v>575</v>
      </c>
      <c r="C80" s="10" t="s">
        <v>218</v>
      </c>
      <c r="D80" s="11" t="s">
        <v>45</v>
      </c>
      <c r="E80" s="10" t="s">
        <v>31</v>
      </c>
      <c r="F80" s="11" t="s">
        <v>45</v>
      </c>
      <c r="G80" s="10" t="s">
        <v>31</v>
      </c>
      <c r="H80" s="11" t="s">
        <v>45</v>
      </c>
      <c r="I80" s="10" t="s">
        <v>31</v>
      </c>
      <c r="J80" s="7"/>
    </row>
    <row r="81" spans="1:10" ht="18" x14ac:dyDescent="0.25">
      <c r="A81" s="3" t="s">
        <v>138</v>
      </c>
      <c r="B81" s="9" t="s">
        <v>87</v>
      </c>
      <c r="C81" s="3" t="s">
        <v>218</v>
      </c>
      <c r="D81" s="9" t="s">
        <v>45</v>
      </c>
      <c r="E81" s="3" t="s">
        <v>31</v>
      </c>
      <c r="F81" s="9" t="s">
        <v>45</v>
      </c>
      <c r="G81" s="3" t="s">
        <v>31</v>
      </c>
      <c r="H81" s="9" t="s">
        <v>45</v>
      </c>
      <c r="I81" s="3" t="s">
        <v>31</v>
      </c>
      <c r="J81" s="7"/>
    </row>
    <row r="82" spans="1:10" ht="18" x14ac:dyDescent="0.25">
      <c r="A82" s="3" t="s">
        <v>95</v>
      </c>
      <c r="B82" s="9" t="s">
        <v>575</v>
      </c>
      <c r="C82" s="3" t="s">
        <v>218</v>
      </c>
      <c r="D82" s="9" t="s">
        <v>45</v>
      </c>
      <c r="E82" s="3" t="s">
        <v>31</v>
      </c>
      <c r="F82" s="9" t="s">
        <v>45</v>
      </c>
      <c r="G82" s="3" t="s">
        <v>31</v>
      </c>
      <c r="H82" s="9" t="s">
        <v>45</v>
      </c>
      <c r="I82" s="3" t="s">
        <v>31</v>
      </c>
      <c r="J82" s="7"/>
    </row>
    <row r="83" spans="1:10" ht="18" x14ac:dyDescent="0.25">
      <c r="A83" s="3" t="s">
        <v>97</v>
      </c>
      <c r="B83" s="9" t="s">
        <v>575</v>
      </c>
      <c r="C83" s="3" t="s">
        <v>218</v>
      </c>
      <c r="D83" s="9" t="s">
        <v>45</v>
      </c>
      <c r="E83" s="3" t="s">
        <v>31</v>
      </c>
      <c r="F83" s="9" t="s">
        <v>45</v>
      </c>
      <c r="G83" s="3" t="s">
        <v>31</v>
      </c>
      <c r="H83" s="9" t="s">
        <v>45</v>
      </c>
      <c r="I83" s="3" t="s">
        <v>31</v>
      </c>
      <c r="J83" s="7"/>
    </row>
    <row r="84" spans="1:10" x14ac:dyDescent="0.25">
      <c r="A84" s="8" t="s">
        <v>102</v>
      </c>
      <c r="B84" s="8" t="s">
        <v>41</v>
      </c>
      <c r="C84" s="8" t="s">
        <v>42</v>
      </c>
      <c r="D84" s="8" t="s">
        <v>41</v>
      </c>
      <c r="E84" s="8" t="s">
        <v>42</v>
      </c>
      <c r="F84" s="8" t="s">
        <v>41</v>
      </c>
      <c r="G84" s="8" t="s">
        <v>42</v>
      </c>
      <c r="H84" s="8" t="s">
        <v>41</v>
      </c>
      <c r="I84" s="8" t="s">
        <v>42</v>
      </c>
      <c r="J84" s="7"/>
    </row>
    <row r="85" spans="1:10" ht="18" x14ac:dyDescent="0.25">
      <c r="A85" s="3" t="s">
        <v>105</v>
      </c>
      <c r="B85" s="9" t="s">
        <v>408</v>
      </c>
      <c r="C85" s="3" t="s">
        <v>218</v>
      </c>
      <c r="D85" s="9" t="s">
        <v>45</v>
      </c>
      <c r="E85" s="3" t="s">
        <v>31</v>
      </c>
      <c r="F85" s="9" t="s">
        <v>45</v>
      </c>
      <c r="G85" s="3" t="s">
        <v>31</v>
      </c>
      <c r="H85" s="9" t="s">
        <v>45</v>
      </c>
      <c r="I85" s="3" t="s">
        <v>31</v>
      </c>
      <c r="J85" s="7"/>
    </row>
    <row r="86" spans="1:10" ht="18" x14ac:dyDescent="0.25">
      <c r="A86" s="3" t="s">
        <v>108</v>
      </c>
      <c r="B86" s="9" t="s">
        <v>408</v>
      </c>
      <c r="C86" s="3" t="s">
        <v>218</v>
      </c>
      <c r="D86" s="9" t="s">
        <v>45</v>
      </c>
      <c r="E86" s="3" t="s">
        <v>31</v>
      </c>
      <c r="F86" s="9" t="s">
        <v>45</v>
      </c>
      <c r="G86" s="3" t="s">
        <v>31</v>
      </c>
      <c r="H86" s="9" t="s">
        <v>45</v>
      </c>
      <c r="I86" s="3" t="s">
        <v>31</v>
      </c>
      <c r="J86" s="7"/>
    </row>
    <row r="87" spans="1:10" x14ac:dyDescent="0.25">
      <c r="A87" s="130" t="s">
        <v>109</v>
      </c>
      <c r="B87" s="130" t="s">
        <v>41</v>
      </c>
      <c r="C87" s="130" t="s">
        <v>42</v>
      </c>
      <c r="D87" s="130" t="s">
        <v>41</v>
      </c>
      <c r="E87" s="130" t="s">
        <v>42</v>
      </c>
      <c r="F87" s="130" t="s">
        <v>41</v>
      </c>
      <c r="G87" s="130" t="s">
        <v>42</v>
      </c>
      <c r="H87" s="130" t="s">
        <v>41</v>
      </c>
      <c r="I87" s="130" t="s">
        <v>42</v>
      </c>
      <c r="J87" s="86"/>
    </row>
    <row r="88" spans="1:10" ht="27" x14ac:dyDescent="0.25">
      <c r="A88" s="157"/>
      <c r="B88" s="158"/>
      <c r="C88" s="157"/>
      <c r="D88" s="12" t="s">
        <v>580</v>
      </c>
      <c r="E88" s="157"/>
      <c r="F88" s="12" t="s">
        <v>580</v>
      </c>
      <c r="G88" s="157"/>
      <c r="H88" s="12" t="s">
        <v>580</v>
      </c>
      <c r="I88" s="157"/>
      <c r="J88" s="86"/>
    </row>
    <row r="89" spans="1:10" ht="18" x14ac:dyDescent="0.25">
      <c r="A89" s="3" t="s">
        <v>114</v>
      </c>
      <c r="B89" s="9" t="s">
        <v>581</v>
      </c>
      <c r="C89" s="3" t="s">
        <v>218</v>
      </c>
      <c r="D89" s="9" t="s">
        <v>45</v>
      </c>
      <c r="E89" s="3" t="s">
        <v>31</v>
      </c>
      <c r="F89" s="9" t="s">
        <v>45</v>
      </c>
      <c r="G89" s="3" t="s">
        <v>31</v>
      </c>
      <c r="H89" s="9" t="s">
        <v>45</v>
      </c>
      <c r="I89" s="3" t="s">
        <v>31</v>
      </c>
      <c r="J89" s="7"/>
    </row>
    <row r="90" spans="1:10" ht="18" x14ac:dyDescent="0.25">
      <c r="A90" s="130" t="s">
        <v>117</v>
      </c>
      <c r="B90" s="130" t="s">
        <v>41</v>
      </c>
      <c r="C90" s="130" t="s">
        <v>42</v>
      </c>
      <c r="D90" s="130" t="s">
        <v>41</v>
      </c>
      <c r="E90" s="130" t="s">
        <v>42</v>
      </c>
      <c r="F90" s="130" t="s">
        <v>41</v>
      </c>
      <c r="G90" s="130" t="s">
        <v>42</v>
      </c>
      <c r="H90" s="130" t="s">
        <v>41</v>
      </c>
      <c r="I90" s="130" t="s">
        <v>42</v>
      </c>
      <c r="J90" s="86"/>
    </row>
    <row r="91" spans="1:10" ht="36" x14ac:dyDescent="0.25">
      <c r="A91" s="15" t="s">
        <v>118</v>
      </c>
      <c r="B91" s="12" t="s">
        <v>582</v>
      </c>
      <c r="C91" s="15" t="s">
        <v>382</v>
      </c>
      <c r="D91" s="12" t="s">
        <v>119</v>
      </c>
      <c r="E91" s="15" t="s">
        <v>120</v>
      </c>
      <c r="F91" s="12" t="s">
        <v>119</v>
      </c>
      <c r="G91" s="15" t="s">
        <v>120</v>
      </c>
      <c r="H91" s="12" t="s">
        <v>119</v>
      </c>
      <c r="I91" s="15" t="s">
        <v>120</v>
      </c>
      <c r="J91" s="86"/>
    </row>
    <row r="92" spans="1:10" ht="18" x14ac:dyDescent="0.25">
      <c r="A92" s="3" t="s">
        <v>122</v>
      </c>
      <c r="B92" s="9" t="s">
        <v>408</v>
      </c>
      <c r="C92" s="3" t="s">
        <v>218</v>
      </c>
      <c r="D92" s="9" t="s">
        <v>45</v>
      </c>
      <c r="E92" s="3" t="s">
        <v>31</v>
      </c>
      <c r="F92" s="9" t="s">
        <v>45</v>
      </c>
      <c r="G92" s="3" t="s">
        <v>31</v>
      </c>
      <c r="H92" s="9" t="s">
        <v>45</v>
      </c>
      <c r="I92" s="3" t="s">
        <v>31</v>
      </c>
      <c r="J92" s="7"/>
    </row>
    <row r="93" spans="1:10" ht="36" x14ac:dyDescent="0.25">
      <c r="A93" s="3" t="s">
        <v>123</v>
      </c>
      <c r="B93" s="9" t="s">
        <v>583</v>
      </c>
      <c r="C93" s="3" t="s">
        <v>464</v>
      </c>
      <c r="D93" s="9" t="s">
        <v>124</v>
      </c>
      <c r="E93" s="3" t="s">
        <v>125</v>
      </c>
      <c r="F93" s="9" t="s">
        <v>124</v>
      </c>
      <c r="G93" s="3" t="s">
        <v>125</v>
      </c>
      <c r="H93" s="9" t="s">
        <v>124</v>
      </c>
      <c r="I93" s="3" t="s">
        <v>125</v>
      </c>
      <c r="J93" s="7"/>
    </row>
    <row r="94" spans="1:10" ht="18" x14ac:dyDescent="0.25">
      <c r="A94" s="3" t="s">
        <v>128</v>
      </c>
      <c r="B94" s="9" t="s">
        <v>408</v>
      </c>
      <c r="C94" s="3" t="s">
        <v>218</v>
      </c>
      <c r="D94" s="9" t="s">
        <v>45</v>
      </c>
      <c r="E94" s="3" t="s">
        <v>31</v>
      </c>
      <c r="F94" s="9" t="s">
        <v>45</v>
      </c>
      <c r="G94" s="3" t="s">
        <v>31</v>
      </c>
      <c r="H94" s="9" t="s">
        <v>45</v>
      </c>
      <c r="I94" s="3" t="s">
        <v>31</v>
      </c>
      <c r="J94" s="7"/>
    </row>
    <row r="95" spans="1:10" ht="18" x14ac:dyDescent="0.25">
      <c r="A95" s="3" t="s">
        <v>129</v>
      </c>
      <c r="B95" s="9" t="s">
        <v>408</v>
      </c>
      <c r="C95" s="3" t="s">
        <v>218</v>
      </c>
      <c r="D95" s="9" t="s">
        <v>45</v>
      </c>
      <c r="E95" s="3" t="s">
        <v>31</v>
      </c>
      <c r="F95" s="9" t="s">
        <v>45</v>
      </c>
      <c r="G95" s="3" t="s">
        <v>31</v>
      </c>
      <c r="H95" s="9" t="s">
        <v>45</v>
      </c>
      <c r="I95" s="3" t="s">
        <v>31</v>
      </c>
      <c r="J95" s="7"/>
    </row>
    <row r="96" spans="1:10" x14ac:dyDescent="0.25">
      <c r="A96" s="8" t="s">
        <v>130</v>
      </c>
      <c r="B96" s="8" t="s">
        <v>41</v>
      </c>
      <c r="C96" s="8" t="s">
        <v>42</v>
      </c>
      <c r="D96" s="8" t="s">
        <v>41</v>
      </c>
      <c r="E96" s="8" t="s">
        <v>42</v>
      </c>
      <c r="F96" s="8" t="s">
        <v>41</v>
      </c>
      <c r="G96" s="8" t="s">
        <v>42</v>
      </c>
      <c r="H96" s="8" t="s">
        <v>41</v>
      </c>
      <c r="I96" s="8" t="s">
        <v>42</v>
      </c>
      <c r="J96" s="7"/>
    </row>
    <row r="97" spans="1:10" ht="18" x14ac:dyDescent="0.25">
      <c r="A97" s="130" t="s">
        <v>136</v>
      </c>
      <c r="B97" s="130" t="s">
        <v>41</v>
      </c>
      <c r="C97" s="130" t="s">
        <v>42</v>
      </c>
      <c r="D97" s="130" t="s">
        <v>41</v>
      </c>
      <c r="E97" s="130" t="s">
        <v>42</v>
      </c>
      <c r="F97" s="130" t="s">
        <v>41</v>
      </c>
      <c r="G97" s="130" t="s">
        <v>42</v>
      </c>
      <c r="H97" s="130" t="s">
        <v>41</v>
      </c>
      <c r="I97" s="130" t="s">
        <v>42</v>
      </c>
      <c r="J97" s="7"/>
    </row>
    <row r="98" spans="1:10" ht="18" x14ac:dyDescent="0.25">
      <c r="A98" s="3" t="s">
        <v>85</v>
      </c>
      <c r="B98" s="9" t="s">
        <v>565</v>
      </c>
      <c r="C98" s="3" t="s">
        <v>218</v>
      </c>
      <c r="D98" s="9" t="s">
        <v>45</v>
      </c>
      <c r="E98" s="3" t="s">
        <v>31</v>
      </c>
      <c r="F98" s="9" t="s">
        <v>45</v>
      </c>
      <c r="G98" s="3" t="s">
        <v>31</v>
      </c>
      <c r="H98" s="9" t="s">
        <v>45</v>
      </c>
      <c r="I98" s="3" t="s">
        <v>31</v>
      </c>
      <c r="J98" s="7"/>
    </row>
    <row r="99" spans="1:10" ht="18" x14ac:dyDescent="0.25">
      <c r="A99" s="3" t="s">
        <v>138</v>
      </c>
      <c r="B99" s="9" t="s">
        <v>87</v>
      </c>
      <c r="C99" s="3" t="s">
        <v>218</v>
      </c>
      <c r="D99" s="9" t="s">
        <v>45</v>
      </c>
      <c r="E99" s="3" t="s">
        <v>31</v>
      </c>
      <c r="F99" s="9" t="s">
        <v>45</v>
      </c>
      <c r="G99" s="3" t="s">
        <v>31</v>
      </c>
      <c r="H99" s="9" t="s">
        <v>45</v>
      </c>
      <c r="I99" s="3" t="s">
        <v>31</v>
      </c>
      <c r="J99" s="7"/>
    </row>
    <row r="100" spans="1:10" ht="18" x14ac:dyDescent="0.25">
      <c r="A100" s="8" t="s">
        <v>144</v>
      </c>
      <c r="B100" s="8" t="s">
        <v>41</v>
      </c>
      <c r="C100" s="8" t="s">
        <v>42</v>
      </c>
      <c r="D100" s="8" t="s">
        <v>41</v>
      </c>
      <c r="E100" s="8" t="s">
        <v>42</v>
      </c>
      <c r="F100" s="8" t="s">
        <v>41</v>
      </c>
      <c r="G100" s="8" t="s">
        <v>42</v>
      </c>
      <c r="H100" s="8" t="s">
        <v>41</v>
      </c>
      <c r="I100" s="8" t="s">
        <v>42</v>
      </c>
      <c r="J100" s="7"/>
    </row>
    <row r="101" spans="1:10" x14ac:dyDescent="0.25">
      <c r="A101" s="8" t="s">
        <v>151</v>
      </c>
      <c r="B101" s="8" t="s">
        <v>41</v>
      </c>
      <c r="C101" s="8" t="s">
        <v>42</v>
      </c>
      <c r="D101" s="8" t="s">
        <v>41</v>
      </c>
      <c r="E101" s="8" t="s">
        <v>42</v>
      </c>
      <c r="F101" s="8" t="s">
        <v>41</v>
      </c>
      <c r="G101" s="8" t="s">
        <v>42</v>
      </c>
      <c r="H101" s="8" t="s">
        <v>41</v>
      </c>
      <c r="I101" s="8" t="s">
        <v>42</v>
      </c>
      <c r="J101" s="7"/>
    </row>
    <row r="102" spans="1:10" ht="36" x14ac:dyDescent="0.25">
      <c r="A102" s="3" t="s">
        <v>152</v>
      </c>
      <c r="B102" s="9" t="s">
        <v>589</v>
      </c>
      <c r="C102" s="3" t="s">
        <v>472</v>
      </c>
      <c r="D102" s="9" t="s">
        <v>153</v>
      </c>
      <c r="E102" s="3" t="s">
        <v>154</v>
      </c>
      <c r="F102" s="9" t="s">
        <v>153</v>
      </c>
      <c r="G102" s="3" t="s">
        <v>154</v>
      </c>
      <c r="H102" s="9" t="s">
        <v>153</v>
      </c>
      <c r="I102" s="3" t="s">
        <v>154</v>
      </c>
      <c r="J102" s="7"/>
    </row>
    <row r="103" spans="1:10" ht="27" x14ac:dyDescent="0.25">
      <c r="A103" s="3" t="s">
        <v>157</v>
      </c>
      <c r="B103" s="9" t="s">
        <v>590</v>
      </c>
      <c r="C103" s="3" t="s">
        <v>473</v>
      </c>
      <c r="D103" s="9" t="s">
        <v>158</v>
      </c>
      <c r="E103" s="3" t="s">
        <v>159</v>
      </c>
      <c r="F103" s="9" t="s">
        <v>158</v>
      </c>
      <c r="G103" s="3" t="s">
        <v>159</v>
      </c>
      <c r="H103" s="9" t="s">
        <v>158</v>
      </c>
      <c r="I103" s="3" t="s">
        <v>159</v>
      </c>
      <c r="J103" s="7"/>
    </row>
    <row r="104" spans="1:10" ht="27" x14ac:dyDescent="0.25">
      <c r="A104" s="3" t="s">
        <v>162</v>
      </c>
      <c r="B104" s="9" t="s">
        <v>591</v>
      </c>
      <c r="C104" s="3" t="s">
        <v>475</v>
      </c>
      <c r="D104" s="9" t="s">
        <v>163</v>
      </c>
      <c r="E104" s="3" t="s">
        <v>164</v>
      </c>
      <c r="F104" s="9" t="s">
        <v>163</v>
      </c>
      <c r="G104" s="3" t="s">
        <v>164</v>
      </c>
      <c r="H104" s="9" t="s">
        <v>163</v>
      </c>
      <c r="I104" s="3" t="s">
        <v>164</v>
      </c>
      <c r="J104" s="7"/>
    </row>
    <row r="105" spans="1:10" x14ac:dyDescent="0.25">
      <c r="A105" s="14"/>
      <c r="B105" s="13"/>
      <c r="C105" s="14"/>
      <c r="D105" s="13"/>
      <c r="E105" s="14"/>
      <c r="F105" s="13"/>
      <c r="G105" s="14"/>
      <c r="H105" s="13"/>
      <c r="I105" s="14"/>
      <c r="J105" s="7"/>
    </row>
    <row r="106" spans="1:10" ht="18" x14ac:dyDescent="0.25">
      <c r="A106" s="10" t="s">
        <v>174</v>
      </c>
      <c r="B106" s="11" t="s">
        <v>173</v>
      </c>
      <c r="C106" s="10" t="s">
        <v>173</v>
      </c>
      <c r="D106" s="11" t="s">
        <v>173</v>
      </c>
      <c r="E106" s="10" t="s">
        <v>173</v>
      </c>
      <c r="F106" s="11" t="s">
        <v>173</v>
      </c>
      <c r="G106" s="10" t="s">
        <v>173</v>
      </c>
      <c r="H106" s="11" t="s">
        <v>173</v>
      </c>
      <c r="I106" s="10" t="s">
        <v>173</v>
      </c>
      <c r="J106" s="86"/>
    </row>
    <row r="107" spans="1:10" ht="18" x14ac:dyDescent="0.25">
      <c r="A107" s="15" t="s">
        <v>176</v>
      </c>
      <c r="B107" s="12" t="s">
        <v>565</v>
      </c>
      <c r="C107" s="15" t="s">
        <v>218</v>
      </c>
      <c r="D107" s="12" t="s">
        <v>45</v>
      </c>
      <c r="E107" s="15" t="s">
        <v>31</v>
      </c>
      <c r="F107" s="12" t="s">
        <v>45</v>
      </c>
      <c r="G107" s="15" t="s">
        <v>31</v>
      </c>
      <c r="H107" s="12" t="s">
        <v>45</v>
      </c>
      <c r="I107" s="15" t="s">
        <v>31</v>
      </c>
      <c r="J107" s="86"/>
    </row>
    <row r="108" spans="1:10" ht="36" x14ac:dyDescent="0.25">
      <c r="A108" s="3" t="s">
        <v>177</v>
      </c>
      <c r="B108" s="9" t="s">
        <v>178</v>
      </c>
      <c r="C108" s="3" t="s">
        <v>179</v>
      </c>
      <c r="D108" s="9" t="s">
        <v>178</v>
      </c>
      <c r="E108" s="3" t="s">
        <v>179</v>
      </c>
      <c r="F108" s="9" t="s">
        <v>178</v>
      </c>
      <c r="G108" s="3" t="s">
        <v>179</v>
      </c>
      <c r="H108" s="9" t="s">
        <v>178</v>
      </c>
      <c r="I108" s="3" t="s">
        <v>179</v>
      </c>
      <c r="J108" s="7"/>
    </row>
    <row r="109" spans="1:10" x14ac:dyDescent="0.25">
      <c r="A109" s="8" t="s">
        <v>180</v>
      </c>
      <c r="B109" s="8" t="s">
        <v>41</v>
      </c>
      <c r="C109" s="8" t="s">
        <v>42</v>
      </c>
      <c r="D109" s="8" t="s">
        <v>41</v>
      </c>
      <c r="E109" s="8" t="s">
        <v>42</v>
      </c>
      <c r="F109" s="8" t="s">
        <v>41</v>
      </c>
      <c r="G109" s="8" t="s">
        <v>42</v>
      </c>
      <c r="H109" s="8" t="s">
        <v>41</v>
      </c>
      <c r="I109" s="8" t="s">
        <v>42</v>
      </c>
      <c r="J109" s="7"/>
    </row>
    <row r="110" spans="1:10" ht="18" x14ac:dyDescent="0.25">
      <c r="A110" s="3" t="s">
        <v>185</v>
      </c>
      <c r="B110" s="9" t="s">
        <v>565</v>
      </c>
      <c r="C110" s="3" t="s">
        <v>218</v>
      </c>
      <c r="D110" s="9" t="s">
        <v>45</v>
      </c>
      <c r="E110" s="3" t="s">
        <v>31</v>
      </c>
      <c r="F110" s="9" t="s">
        <v>45</v>
      </c>
      <c r="G110" s="3" t="s">
        <v>31</v>
      </c>
      <c r="H110" s="9" t="s">
        <v>45</v>
      </c>
      <c r="I110" s="3" t="s">
        <v>31</v>
      </c>
      <c r="J110" s="7"/>
    </row>
    <row r="111" spans="1:10" ht="27" x14ac:dyDescent="0.25">
      <c r="A111" s="3" t="s">
        <v>189</v>
      </c>
      <c r="B111" s="9" t="s">
        <v>593</v>
      </c>
      <c r="C111" s="3" t="s">
        <v>419</v>
      </c>
      <c r="D111" s="9" t="s">
        <v>191</v>
      </c>
      <c r="E111" s="3" t="s">
        <v>183</v>
      </c>
      <c r="F111" s="9" t="s">
        <v>191</v>
      </c>
      <c r="G111" s="3" t="s">
        <v>183</v>
      </c>
      <c r="H111" s="9" t="s">
        <v>191</v>
      </c>
      <c r="I111" s="3" t="s">
        <v>183</v>
      </c>
      <c r="J111" s="7"/>
    </row>
    <row r="112" spans="1:10" ht="27" x14ac:dyDescent="0.25">
      <c r="A112" s="10" t="s">
        <v>192</v>
      </c>
      <c r="B112" s="11" t="s">
        <v>193</v>
      </c>
      <c r="C112" s="10" t="s">
        <v>193</v>
      </c>
      <c r="D112" s="11" t="s">
        <v>193</v>
      </c>
      <c r="E112" s="10" t="s">
        <v>193</v>
      </c>
      <c r="F112" s="11" t="s">
        <v>193</v>
      </c>
      <c r="G112" s="10" t="s">
        <v>193</v>
      </c>
      <c r="H112" s="11" t="s">
        <v>193</v>
      </c>
      <c r="I112" s="10" t="s">
        <v>193</v>
      </c>
      <c r="J112" s="86"/>
    </row>
    <row r="113" spans="1:10" x14ac:dyDescent="0.25">
      <c r="A113" s="143" t="s">
        <v>194</v>
      </c>
      <c r="B113" s="143" t="s">
        <v>41</v>
      </c>
      <c r="C113" s="143" t="s">
        <v>42</v>
      </c>
      <c r="D113" s="143" t="s">
        <v>41</v>
      </c>
      <c r="E113" s="143" t="s">
        <v>42</v>
      </c>
      <c r="F113" s="143" t="s">
        <v>41</v>
      </c>
      <c r="G113" s="143" t="s">
        <v>42</v>
      </c>
      <c r="H113" s="143" t="s">
        <v>41</v>
      </c>
      <c r="I113" s="143" t="s">
        <v>42</v>
      </c>
      <c r="J113" s="86"/>
    </row>
    <row r="114" spans="1:10" x14ac:dyDescent="0.25">
      <c r="A114" s="15" t="s">
        <v>195</v>
      </c>
      <c r="B114" s="88" t="s">
        <v>112</v>
      </c>
      <c r="C114" s="87" t="s">
        <v>112</v>
      </c>
      <c r="D114" s="88" t="s">
        <v>112</v>
      </c>
      <c r="E114" s="87" t="s">
        <v>112</v>
      </c>
      <c r="F114" s="88" t="s">
        <v>112</v>
      </c>
      <c r="G114" s="87" t="s">
        <v>112</v>
      </c>
      <c r="H114" s="88" t="s">
        <v>112</v>
      </c>
      <c r="I114" s="87" t="s">
        <v>112</v>
      </c>
      <c r="J114" s="86"/>
    </row>
    <row r="115" spans="1:10" x14ac:dyDescent="0.25">
      <c r="A115" s="14"/>
      <c r="B115" s="13"/>
      <c r="C115" s="14"/>
      <c r="D115" s="13"/>
      <c r="E115" s="3" t="s">
        <v>483</v>
      </c>
      <c r="F115" s="13"/>
      <c r="G115" s="3" t="s">
        <v>483</v>
      </c>
      <c r="H115" s="13"/>
      <c r="I115" s="3" t="s">
        <v>483</v>
      </c>
      <c r="J115" s="2"/>
    </row>
    <row r="116" spans="1:10" ht="27" x14ac:dyDescent="0.25">
      <c r="A116" s="3" t="s">
        <v>202</v>
      </c>
      <c r="B116" s="9" t="s">
        <v>173</v>
      </c>
      <c r="C116" s="3" t="s">
        <v>203</v>
      </c>
      <c r="D116" s="9" t="s">
        <v>173</v>
      </c>
      <c r="E116" s="3" t="s">
        <v>203</v>
      </c>
      <c r="F116" s="9" t="s">
        <v>173</v>
      </c>
      <c r="G116" s="3" t="s">
        <v>203</v>
      </c>
      <c r="H116" s="9" t="s">
        <v>173</v>
      </c>
      <c r="I116" s="3" t="s">
        <v>203</v>
      </c>
      <c r="J116" s="4"/>
    </row>
    <row r="117" spans="1:10" ht="54" x14ac:dyDescent="0.25">
      <c r="A117" s="3" t="s">
        <v>204</v>
      </c>
      <c r="B117" s="9" t="s">
        <v>598</v>
      </c>
      <c r="C117" s="3" t="s">
        <v>435</v>
      </c>
      <c r="D117" s="9" t="s">
        <v>296</v>
      </c>
      <c r="E117" s="3" t="s">
        <v>298</v>
      </c>
      <c r="F117" s="9" t="s">
        <v>296</v>
      </c>
      <c r="G117" s="3" t="s">
        <v>298</v>
      </c>
      <c r="H117" s="9" t="s">
        <v>296</v>
      </c>
      <c r="I117" s="3" t="s">
        <v>298</v>
      </c>
      <c r="J11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6"/>
  <sheetViews>
    <sheetView workbookViewId="0"/>
  </sheetViews>
  <sheetFormatPr defaultColWidth="19.7109375" defaultRowHeight="15" x14ac:dyDescent="0.25"/>
  <sheetData>
    <row r="1" spans="1:8" ht="18" customHeight="1" x14ac:dyDescent="0.25">
      <c r="A1" s="102"/>
      <c r="B1" s="124" t="s">
        <v>599</v>
      </c>
      <c r="C1" s="125"/>
      <c r="D1" s="124" t="s">
        <v>600</v>
      </c>
      <c r="E1" s="125"/>
      <c r="F1" s="124" t="s">
        <v>601</v>
      </c>
      <c r="G1" s="126"/>
      <c r="H1" s="2"/>
    </row>
    <row r="2" spans="1:8" x14ac:dyDescent="0.25">
      <c r="A2" s="111" t="s">
        <v>3</v>
      </c>
      <c r="B2" s="112"/>
      <c r="C2" s="112"/>
      <c r="D2" s="112"/>
      <c r="E2" s="112"/>
      <c r="F2" s="112"/>
      <c r="G2" s="112"/>
      <c r="H2" s="2"/>
    </row>
    <row r="3" spans="1:8" x14ac:dyDescent="0.25">
      <c r="A3" s="3" t="s">
        <v>4</v>
      </c>
      <c r="B3" s="113" t="s">
        <v>602</v>
      </c>
      <c r="C3" s="114"/>
      <c r="D3" s="115" t="s">
        <v>603</v>
      </c>
      <c r="E3" s="116"/>
      <c r="F3" s="113" t="s">
        <v>604</v>
      </c>
      <c r="G3" s="117"/>
      <c r="H3" s="2"/>
    </row>
    <row r="4" spans="1:8" x14ac:dyDescent="0.25">
      <c r="A4" s="3" t="s">
        <v>5</v>
      </c>
      <c r="B4" s="113" t="s">
        <v>599</v>
      </c>
      <c r="C4" s="114"/>
      <c r="D4" s="115" t="s">
        <v>600</v>
      </c>
      <c r="E4" s="116"/>
      <c r="F4" s="113" t="s">
        <v>601</v>
      </c>
      <c r="G4" s="117"/>
      <c r="H4" s="2"/>
    </row>
    <row r="5" spans="1:8" x14ac:dyDescent="0.25">
      <c r="A5" s="3" t="s">
        <v>6</v>
      </c>
      <c r="B5" s="113" t="s">
        <v>7</v>
      </c>
      <c r="C5" s="114"/>
      <c r="D5" s="115" t="s">
        <v>7</v>
      </c>
      <c r="E5" s="116"/>
      <c r="F5" s="113" t="s">
        <v>7</v>
      </c>
      <c r="G5" s="117"/>
      <c r="H5" s="2"/>
    </row>
    <row r="6" spans="1:8" ht="72" customHeight="1" x14ac:dyDescent="0.25">
      <c r="A6" s="3" t="s">
        <v>9</v>
      </c>
      <c r="B6" s="113" t="s">
        <v>244</v>
      </c>
      <c r="C6" s="114"/>
      <c r="D6" s="115" t="s">
        <v>244</v>
      </c>
      <c r="E6" s="116"/>
      <c r="F6" s="113" t="s">
        <v>10</v>
      </c>
      <c r="G6" s="117"/>
      <c r="H6" s="4"/>
    </row>
    <row r="7" spans="1:8" x14ac:dyDescent="0.25">
      <c r="A7" s="3" t="s">
        <v>12</v>
      </c>
      <c r="B7" s="113" t="s">
        <v>245</v>
      </c>
      <c r="C7" s="114"/>
      <c r="D7" s="115" t="s">
        <v>245</v>
      </c>
      <c r="E7" s="116"/>
      <c r="F7" s="113" t="s">
        <v>13</v>
      </c>
      <c r="G7" s="117"/>
      <c r="H7" s="2"/>
    </row>
    <row r="8" spans="1:8" x14ac:dyDescent="0.25">
      <c r="A8" s="3" t="s">
        <v>15</v>
      </c>
      <c r="B8" s="113" t="s">
        <v>16</v>
      </c>
      <c r="C8" s="114"/>
      <c r="D8" s="115" t="s">
        <v>16</v>
      </c>
      <c r="E8" s="116"/>
      <c r="F8" s="113" t="s">
        <v>16</v>
      </c>
      <c r="G8" s="117"/>
      <c r="H8" s="2"/>
    </row>
    <row r="9" spans="1:8" x14ac:dyDescent="0.25">
      <c r="A9" s="3" t="s">
        <v>18</v>
      </c>
      <c r="B9" s="113" t="s">
        <v>19</v>
      </c>
      <c r="C9" s="114"/>
      <c r="D9" s="115" t="s">
        <v>19</v>
      </c>
      <c r="E9" s="116"/>
      <c r="F9" s="113" t="s">
        <v>19</v>
      </c>
      <c r="G9" s="117"/>
      <c r="H9" s="2"/>
    </row>
    <row r="10" spans="1:8" x14ac:dyDescent="0.25">
      <c r="A10" s="5" t="s">
        <v>20</v>
      </c>
      <c r="B10" s="111" t="s">
        <v>21</v>
      </c>
      <c r="C10" s="123"/>
      <c r="D10" s="111" t="s">
        <v>21</v>
      </c>
      <c r="E10" s="123"/>
      <c r="F10" s="111" t="s">
        <v>21</v>
      </c>
      <c r="G10" s="112"/>
      <c r="H10" s="2"/>
    </row>
    <row r="11" spans="1:8" x14ac:dyDescent="0.25">
      <c r="A11" s="96" t="s">
        <v>22</v>
      </c>
      <c r="B11" s="118">
        <v>822.87</v>
      </c>
      <c r="C11" s="119"/>
      <c r="D11" s="120">
        <v>810.88</v>
      </c>
      <c r="E11" s="121"/>
      <c r="F11" s="118">
        <v>807.88</v>
      </c>
      <c r="G11" s="122"/>
      <c r="H11" s="2"/>
    </row>
    <row r="12" spans="1:8" x14ac:dyDescent="0.25">
      <c r="A12" s="96" t="s">
        <v>23</v>
      </c>
      <c r="B12" s="118">
        <v>1645.75</v>
      </c>
      <c r="C12" s="119"/>
      <c r="D12" s="120">
        <v>1621.76</v>
      </c>
      <c r="E12" s="121"/>
      <c r="F12" s="118">
        <v>1615.76</v>
      </c>
      <c r="G12" s="122"/>
      <c r="H12" s="2"/>
    </row>
    <row r="13" spans="1:8" x14ac:dyDescent="0.25">
      <c r="A13" s="96" t="s">
        <v>24</v>
      </c>
      <c r="B13" s="118">
        <v>1398.89</v>
      </c>
      <c r="C13" s="119"/>
      <c r="D13" s="120">
        <v>1378.5</v>
      </c>
      <c r="E13" s="121"/>
      <c r="F13" s="118">
        <v>1373.4</v>
      </c>
      <c r="G13" s="122"/>
      <c r="H13" s="2"/>
    </row>
    <row r="14" spans="1:8" x14ac:dyDescent="0.25">
      <c r="A14" s="96" t="s">
        <v>25</v>
      </c>
      <c r="B14" s="118">
        <v>2345.19</v>
      </c>
      <c r="C14" s="119"/>
      <c r="D14" s="120">
        <v>2311.0100000000002</v>
      </c>
      <c r="E14" s="121"/>
      <c r="F14" s="118">
        <v>2302.4499999999998</v>
      </c>
      <c r="G14" s="122"/>
      <c r="H14" s="2"/>
    </row>
    <row r="15" spans="1:8" x14ac:dyDescent="0.25">
      <c r="A15" s="111" t="s">
        <v>26</v>
      </c>
      <c r="B15" s="112"/>
      <c r="C15" s="112"/>
      <c r="D15" s="112"/>
      <c r="E15" s="112"/>
      <c r="F15" s="112"/>
      <c r="G15" s="112"/>
      <c r="H15" s="2"/>
    </row>
    <row r="16" spans="1:8" x14ac:dyDescent="0.25">
      <c r="A16" s="3" t="s">
        <v>27</v>
      </c>
      <c r="B16" s="113" t="s">
        <v>28</v>
      </c>
      <c r="C16" s="114"/>
      <c r="D16" s="115" t="s">
        <v>28</v>
      </c>
      <c r="E16" s="116"/>
      <c r="F16" s="113" t="s">
        <v>28</v>
      </c>
      <c r="G16" s="117"/>
      <c r="H16" s="6"/>
    </row>
    <row r="17" spans="1:8" x14ac:dyDescent="0.25">
      <c r="A17" s="3" t="s">
        <v>29</v>
      </c>
      <c r="B17" s="113" t="s">
        <v>28</v>
      </c>
      <c r="C17" s="114"/>
      <c r="D17" s="115" t="s">
        <v>28</v>
      </c>
      <c r="E17" s="116"/>
      <c r="F17" s="113" t="s">
        <v>28</v>
      </c>
      <c r="G17" s="117"/>
      <c r="H17" s="2"/>
    </row>
    <row r="18" spans="1:8" ht="14.25" customHeight="1" x14ac:dyDescent="0.25">
      <c r="A18" s="3" t="s">
        <v>30</v>
      </c>
      <c r="B18" s="113" t="s">
        <v>45</v>
      </c>
      <c r="C18" s="114"/>
      <c r="D18" s="115" t="s">
        <v>45</v>
      </c>
      <c r="E18" s="116"/>
      <c r="F18" s="113" t="s">
        <v>31</v>
      </c>
      <c r="G18" s="117"/>
      <c r="H18" s="2"/>
    </row>
    <row r="19" spans="1:8" ht="27" customHeight="1" x14ac:dyDescent="0.25">
      <c r="A19" s="3" t="s">
        <v>32</v>
      </c>
      <c r="B19" s="113" t="s">
        <v>33</v>
      </c>
      <c r="C19" s="114"/>
      <c r="D19" s="115" t="s">
        <v>33</v>
      </c>
      <c r="E19" s="116"/>
      <c r="F19" s="113" t="s">
        <v>33</v>
      </c>
      <c r="G19" s="117"/>
      <c r="H19" s="2"/>
    </row>
    <row r="20" spans="1:8" ht="14.25" customHeight="1" x14ac:dyDescent="0.25">
      <c r="A20" s="3" t="s">
        <v>34</v>
      </c>
      <c r="B20" s="113" t="s">
        <v>35</v>
      </c>
      <c r="C20" s="114"/>
      <c r="D20" s="115" t="s">
        <v>35</v>
      </c>
      <c r="E20" s="116"/>
      <c r="F20" s="113" t="s">
        <v>35</v>
      </c>
      <c r="G20" s="117"/>
      <c r="H20" s="6"/>
    </row>
    <row r="21" spans="1:8" x14ac:dyDescent="0.25">
      <c r="A21" s="3" t="s">
        <v>36</v>
      </c>
      <c r="B21" s="113" t="s">
        <v>37</v>
      </c>
      <c r="C21" s="114"/>
      <c r="D21" s="115" t="s">
        <v>37</v>
      </c>
      <c r="E21" s="116"/>
      <c r="F21" s="113" t="s">
        <v>37</v>
      </c>
      <c r="G21" s="117"/>
      <c r="H21" s="2"/>
    </row>
    <row r="22" spans="1:8" ht="72" customHeight="1" x14ac:dyDescent="0.25">
      <c r="A22" s="3" t="s">
        <v>38</v>
      </c>
      <c r="B22" s="113" t="s">
        <v>39</v>
      </c>
      <c r="C22" s="114"/>
      <c r="D22" s="115" t="s">
        <v>39</v>
      </c>
      <c r="E22" s="116"/>
      <c r="F22" s="113" t="s">
        <v>39</v>
      </c>
      <c r="G22" s="117"/>
      <c r="H22" s="4"/>
    </row>
    <row r="23" spans="1:8" ht="18" x14ac:dyDescent="0.25">
      <c r="A23" s="111" t="s">
        <v>40</v>
      </c>
      <c r="B23" s="112"/>
      <c r="C23" s="112"/>
      <c r="D23" s="112"/>
      <c r="E23" s="112"/>
      <c r="F23" s="112"/>
      <c r="G23" s="112"/>
      <c r="H23" s="7"/>
    </row>
    <row r="24" spans="1:8" ht="18" x14ac:dyDescent="0.25">
      <c r="A24" s="8" t="s">
        <v>40</v>
      </c>
      <c r="B24" s="8" t="s">
        <v>41</v>
      </c>
      <c r="C24" s="8" t="s">
        <v>42</v>
      </c>
      <c r="D24" s="8" t="s">
        <v>41</v>
      </c>
      <c r="E24" s="8" t="s">
        <v>42</v>
      </c>
      <c r="F24" s="8" t="s">
        <v>41</v>
      </c>
      <c r="G24" s="8" t="s">
        <v>42</v>
      </c>
      <c r="H24" s="7"/>
    </row>
    <row r="25" spans="1:8" ht="18" x14ac:dyDescent="0.25">
      <c r="A25" s="96" t="s">
        <v>43</v>
      </c>
      <c r="B25" s="9" t="s">
        <v>343</v>
      </c>
      <c r="C25" s="3" t="s">
        <v>45</v>
      </c>
      <c r="D25" s="9" t="s">
        <v>246</v>
      </c>
      <c r="E25" s="3" t="s">
        <v>45</v>
      </c>
      <c r="F25" s="9" t="s">
        <v>343</v>
      </c>
      <c r="G25" s="3" t="s">
        <v>31</v>
      </c>
      <c r="H25" s="7"/>
    </row>
    <row r="26" spans="1:8" ht="18" x14ac:dyDescent="0.25">
      <c r="A26" s="96" t="s">
        <v>47</v>
      </c>
      <c r="B26" s="9" t="s">
        <v>246</v>
      </c>
      <c r="C26" s="3" t="s">
        <v>45</v>
      </c>
      <c r="D26" s="9" t="s">
        <v>44</v>
      </c>
      <c r="E26" s="3" t="s">
        <v>45</v>
      </c>
      <c r="F26" s="9" t="s">
        <v>246</v>
      </c>
      <c r="G26" s="3" t="s">
        <v>31</v>
      </c>
      <c r="H26" s="7"/>
    </row>
    <row r="27" spans="1:8" x14ac:dyDescent="0.25">
      <c r="A27" s="96" t="s">
        <v>50</v>
      </c>
      <c r="B27" s="9" t="s">
        <v>66</v>
      </c>
      <c r="C27" s="3" t="s">
        <v>51</v>
      </c>
      <c r="D27" s="9" t="s">
        <v>66</v>
      </c>
      <c r="E27" s="3" t="s">
        <v>51</v>
      </c>
      <c r="F27" s="9" t="s">
        <v>51</v>
      </c>
      <c r="G27" s="3" t="s">
        <v>52</v>
      </c>
      <c r="H27" s="7"/>
    </row>
    <row r="28" spans="1:8" ht="39" customHeight="1" x14ac:dyDescent="0.25">
      <c r="A28" s="97" t="s">
        <v>54</v>
      </c>
      <c r="B28" s="106" t="s">
        <v>66</v>
      </c>
      <c r="C28" s="108" t="s">
        <v>56</v>
      </c>
      <c r="D28" s="106" t="s">
        <v>66</v>
      </c>
      <c r="E28" s="108" t="s">
        <v>56</v>
      </c>
      <c r="F28" s="11" t="s">
        <v>605</v>
      </c>
      <c r="G28" s="108" t="s">
        <v>56</v>
      </c>
      <c r="H28" s="110"/>
    </row>
    <row r="29" spans="1:8" x14ac:dyDescent="0.25">
      <c r="A29" s="104"/>
      <c r="B29" s="107"/>
      <c r="C29" s="109"/>
      <c r="D29" s="107"/>
      <c r="E29" s="109"/>
      <c r="F29" s="12" t="s">
        <v>606</v>
      </c>
      <c r="G29" s="109"/>
      <c r="H29" s="110"/>
    </row>
    <row r="30" spans="1:8" ht="18" x14ac:dyDescent="0.25">
      <c r="A30" s="96" t="s">
        <v>60</v>
      </c>
      <c r="B30" s="9" t="s">
        <v>607</v>
      </c>
      <c r="C30" s="3" t="s">
        <v>62</v>
      </c>
      <c r="D30" s="9" t="s">
        <v>608</v>
      </c>
      <c r="E30" s="3" t="s">
        <v>62</v>
      </c>
      <c r="F30" s="9" t="s">
        <v>492</v>
      </c>
      <c r="G30" s="3" t="s">
        <v>62</v>
      </c>
      <c r="H30" s="7"/>
    </row>
    <row r="31" spans="1:8" x14ac:dyDescent="0.25">
      <c r="A31" s="3" t="s">
        <v>65</v>
      </c>
      <c r="B31" s="9" t="s">
        <v>66</v>
      </c>
      <c r="C31" s="3" t="s">
        <v>66</v>
      </c>
      <c r="D31" s="9" t="s">
        <v>66</v>
      </c>
      <c r="E31" s="3" t="s">
        <v>66</v>
      </c>
      <c r="F31" s="9" t="s">
        <v>66</v>
      </c>
      <c r="G31" s="3" t="s">
        <v>66</v>
      </c>
      <c r="H31" s="7"/>
    </row>
    <row r="32" spans="1:8" x14ac:dyDescent="0.25">
      <c r="A32" s="111" t="s">
        <v>67</v>
      </c>
      <c r="B32" s="112"/>
      <c r="C32" s="112"/>
      <c r="D32" s="112"/>
      <c r="E32" s="112"/>
      <c r="F32" s="112"/>
      <c r="G32" s="112"/>
      <c r="H32" s="7"/>
    </row>
    <row r="33" spans="1:8" ht="18" x14ac:dyDescent="0.25">
      <c r="A33" s="8" t="s">
        <v>68</v>
      </c>
      <c r="B33" s="8" t="s">
        <v>41</v>
      </c>
      <c r="C33" s="8" t="s">
        <v>42</v>
      </c>
      <c r="D33" s="8" t="s">
        <v>41</v>
      </c>
      <c r="E33" s="8" t="s">
        <v>42</v>
      </c>
      <c r="F33" s="8" t="s">
        <v>41</v>
      </c>
      <c r="G33" s="8" t="s">
        <v>42</v>
      </c>
      <c r="H33" s="7"/>
    </row>
    <row r="34" spans="1:8" ht="18" x14ac:dyDescent="0.25">
      <c r="A34" s="96" t="s">
        <v>69</v>
      </c>
      <c r="B34" s="9" t="s">
        <v>70</v>
      </c>
      <c r="C34" s="3" t="s">
        <v>45</v>
      </c>
      <c r="D34" s="9" t="s">
        <v>70</v>
      </c>
      <c r="E34" s="3" t="s">
        <v>45</v>
      </c>
      <c r="F34" s="9" t="s">
        <v>70</v>
      </c>
      <c r="G34" s="3" t="s">
        <v>31</v>
      </c>
      <c r="H34" s="7"/>
    </row>
    <row r="35" spans="1:8" ht="18" x14ac:dyDescent="0.25">
      <c r="A35" s="3" t="s">
        <v>71</v>
      </c>
      <c r="B35" s="9" t="s">
        <v>70</v>
      </c>
      <c r="C35" s="3" t="s">
        <v>45</v>
      </c>
      <c r="D35" s="9" t="s">
        <v>70</v>
      </c>
      <c r="E35" s="3" t="s">
        <v>45</v>
      </c>
      <c r="F35" s="9" t="s">
        <v>70</v>
      </c>
      <c r="G35" s="3" t="s">
        <v>31</v>
      </c>
      <c r="H35" s="7"/>
    </row>
    <row r="36" spans="1:8" ht="18" x14ac:dyDescent="0.25">
      <c r="A36" s="3" t="s">
        <v>72</v>
      </c>
      <c r="B36" s="9" t="s">
        <v>70</v>
      </c>
      <c r="C36" s="3" t="s">
        <v>45</v>
      </c>
      <c r="D36" s="9" t="s">
        <v>70</v>
      </c>
      <c r="E36" s="3" t="s">
        <v>45</v>
      </c>
      <c r="F36" s="9" t="s">
        <v>70</v>
      </c>
      <c r="G36" s="3" t="s">
        <v>31</v>
      </c>
      <c r="H36" s="7"/>
    </row>
    <row r="37" spans="1:8" ht="18" x14ac:dyDescent="0.25">
      <c r="A37" s="3" t="s">
        <v>73</v>
      </c>
      <c r="B37" s="9" t="s">
        <v>70</v>
      </c>
      <c r="C37" s="3" t="s">
        <v>45</v>
      </c>
      <c r="D37" s="9" t="s">
        <v>70</v>
      </c>
      <c r="E37" s="3" t="s">
        <v>45</v>
      </c>
      <c r="F37" s="9" t="s">
        <v>70</v>
      </c>
      <c r="G37" s="3" t="s">
        <v>31</v>
      </c>
      <c r="H37" s="7"/>
    </row>
    <row r="38" spans="1:8" ht="18" x14ac:dyDescent="0.25">
      <c r="A38" s="3" t="s">
        <v>74</v>
      </c>
      <c r="B38" s="9" t="s">
        <v>70</v>
      </c>
      <c r="C38" s="3" t="s">
        <v>45</v>
      </c>
      <c r="D38" s="9" t="s">
        <v>70</v>
      </c>
      <c r="E38" s="3" t="s">
        <v>45</v>
      </c>
      <c r="F38" s="9" t="s">
        <v>70</v>
      </c>
      <c r="G38" s="3" t="s">
        <v>31</v>
      </c>
      <c r="H38" s="7"/>
    </row>
    <row r="39" spans="1:8" ht="18" x14ac:dyDescent="0.25">
      <c r="A39" s="96" t="s">
        <v>75</v>
      </c>
      <c r="B39" s="9" t="s">
        <v>70</v>
      </c>
      <c r="C39" s="3" t="s">
        <v>45</v>
      </c>
      <c r="D39" s="9" t="s">
        <v>70</v>
      </c>
      <c r="E39" s="3" t="s">
        <v>45</v>
      </c>
      <c r="F39" s="9" t="s">
        <v>70</v>
      </c>
      <c r="G39" s="3" t="s">
        <v>31</v>
      </c>
      <c r="H39" s="7"/>
    </row>
    <row r="40" spans="1:8" ht="18" x14ac:dyDescent="0.25">
      <c r="A40" s="96" t="s">
        <v>76</v>
      </c>
      <c r="B40" s="9" t="s">
        <v>70</v>
      </c>
      <c r="C40" s="3" t="s">
        <v>45</v>
      </c>
      <c r="D40" s="9" t="s">
        <v>70</v>
      </c>
      <c r="E40" s="3" t="s">
        <v>45</v>
      </c>
      <c r="F40" s="9" t="s">
        <v>70</v>
      </c>
      <c r="G40" s="3" t="s">
        <v>31</v>
      </c>
      <c r="H40" s="7"/>
    </row>
    <row r="41" spans="1:8" ht="18" x14ac:dyDescent="0.25">
      <c r="A41" s="3" t="s">
        <v>77</v>
      </c>
      <c r="B41" s="9" t="s">
        <v>78</v>
      </c>
      <c r="C41" s="3" t="s">
        <v>45</v>
      </c>
      <c r="D41" s="9" t="s">
        <v>78</v>
      </c>
      <c r="E41" s="3" t="s">
        <v>45</v>
      </c>
      <c r="F41" s="9" t="s">
        <v>78</v>
      </c>
      <c r="G41" s="3" t="s">
        <v>31</v>
      </c>
      <c r="H41" s="7"/>
    </row>
    <row r="42" spans="1:8" ht="18" x14ac:dyDescent="0.25">
      <c r="A42" s="3" t="s">
        <v>79</v>
      </c>
      <c r="B42" s="9" t="s">
        <v>70</v>
      </c>
      <c r="C42" s="3" t="s">
        <v>45</v>
      </c>
      <c r="D42" s="9" t="s">
        <v>70</v>
      </c>
      <c r="E42" s="3" t="s">
        <v>45</v>
      </c>
      <c r="F42" s="9" t="s">
        <v>70</v>
      </c>
      <c r="G42" s="3" t="s">
        <v>31</v>
      </c>
      <c r="H42" s="7"/>
    </row>
    <row r="43" spans="1:8" ht="18" x14ac:dyDescent="0.25">
      <c r="A43" s="8" t="s">
        <v>80</v>
      </c>
      <c r="B43" s="8" t="s">
        <v>41</v>
      </c>
      <c r="C43" s="8" t="s">
        <v>42</v>
      </c>
      <c r="D43" s="8" t="s">
        <v>41</v>
      </c>
      <c r="E43" s="8" t="s">
        <v>42</v>
      </c>
      <c r="F43" s="8" t="s">
        <v>41</v>
      </c>
      <c r="G43" s="8" t="s">
        <v>42</v>
      </c>
      <c r="H43" s="7"/>
    </row>
    <row r="44" spans="1:8" ht="18" x14ac:dyDescent="0.25">
      <c r="A44" s="3" t="s">
        <v>81</v>
      </c>
      <c r="B44" s="9" t="s">
        <v>609</v>
      </c>
      <c r="C44" s="3" t="s">
        <v>45</v>
      </c>
      <c r="D44" s="9" t="s">
        <v>610</v>
      </c>
      <c r="E44" s="3" t="s">
        <v>45</v>
      </c>
      <c r="F44" s="9" t="s">
        <v>609</v>
      </c>
      <c r="G44" s="3" t="s">
        <v>31</v>
      </c>
      <c r="H44" s="7"/>
    </row>
    <row r="45" spans="1:8" ht="18" x14ac:dyDescent="0.25">
      <c r="A45" s="96" t="s">
        <v>83</v>
      </c>
      <c r="B45" s="9" t="s">
        <v>70</v>
      </c>
      <c r="C45" s="3" t="s">
        <v>45</v>
      </c>
      <c r="D45" s="9" t="s">
        <v>70</v>
      </c>
      <c r="E45" s="3" t="s">
        <v>45</v>
      </c>
      <c r="F45" s="9" t="s">
        <v>70</v>
      </c>
      <c r="G45" s="3" t="s">
        <v>31</v>
      </c>
      <c r="H45" s="7"/>
    </row>
    <row r="46" spans="1:8" ht="18" x14ac:dyDescent="0.25">
      <c r="A46" s="96" t="s">
        <v>85</v>
      </c>
      <c r="B46" s="9" t="s">
        <v>246</v>
      </c>
      <c r="C46" s="3" t="s">
        <v>45</v>
      </c>
      <c r="D46" s="9" t="s">
        <v>44</v>
      </c>
      <c r="E46" s="3" t="s">
        <v>45</v>
      </c>
      <c r="F46" s="9" t="s">
        <v>246</v>
      </c>
      <c r="G46" s="3" t="s">
        <v>31</v>
      </c>
      <c r="H46" s="7"/>
    </row>
    <row r="47" spans="1:8" ht="18" x14ac:dyDescent="0.25">
      <c r="A47" s="3" t="s">
        <v>138</v>
      </c>
      <c r="B47" s="9" t="s">
        <v>87</v>
      </c>
      <c r="C47" s="3" t="s">
        <v>45</v>
      </c>
      <c r="D47" s="9" t="s">
        <v>87</v>
      </c>
      <c r="E47" s="3" t="s">
        <v>45</v>
      </c>
      <c r="F47" s="9" t="s">
        <v>87</v>
      </c>
      <c r="G47" s="3" t="s">
        <v>31</v>
      </c>
      <c r="H47" s="7"/>
    </row>
    <row r="48" spans="1:8" x14ac:dyDescent="0.25">
      <c r="A48" s="20"/>
      <c r="B48" s="21"/>
      <c r="C48" s="20"/>
      <c r="D48" s="21"/>
      <c r="E48" s="20"/>
      <c r="F48" s="21"/>
      <c r="G48" s="20"/>
      <c r="H48" s="7"/>
    </row>
    <row r="49" spans="1:8" ht="18" x14ac:dyDescent="0.25">
      <c r="A49" s="96" t="s">
        <v>94</v>
      </c>
      <c r="B49" s="9" t="s">
        <v>343</v>
      </c>
      <c r="C49" s="3" t="s">
        <v>45</v>
      </c>
      <c r="D49" s="9" t="s">
        <v>246</v>
      </c>
      <c r="E49" s="3" t="s">
        <v>45</v>
      </c>
      <c r="F49" s="9" t="s">
        <v>343</v>
      </c>
      <c r="G49" s="3" t="s">
        <v>31</v>
      </c>
      <c r="H49" s="7"/>
    </row>
    <row r="50" spans="1:8" ht="18" x14ac:dyDescent="0.25">
      <c r="A50" s="3" t="s">
        <v>95</v>
      </c>
      <c r="B50" s="9" t="s">
        <v>609</v>
      </c>
      <c r="C50" s="3" t="s">
        <v>45</v>
      </c>
      <c r="D50" s="9" t="s">
        <v>610</v>
      </c>
      <c r="E50" s="3" t="s">
        <v>45</v>
      </c>
      <c r="F50" s="9" t="s">
        <v>609</v>
      </c>
      <c r="G50" s="3" t="s">
        <v>31</v>
      </c>
      <c r="H50" s="7"/>
    </row>
    <row r="51" spans="1:8" ht="18" x14ac:dyDescent="0.25">
      <c r="A51" s="3" t="s">
        <v>97</v>
      </c>
      <c r="B51" s="9" t="s">
        <v>609</v>
      </c>
      <c r="C51" s="3" t="s">
        <v>45</v>
      </c>
      <c r="D51" s="9" t="s">
        <v>610</v>
      </c>
      <c r="E51" s="3" t="s">
        <v>45</v>
      </c>
      <c r="F51" s="9" t="s">
        <v>609</v>
      </c>
      <c r="G51" s="3" t="s">
        <v>31</v>
      </c>
      <c r="H51" s="7"/>
    </row>
    <row r="52" spans="1:8" ht="18" x14ac:dyDescent="0.25">
      <c r="A52" s="96" t="s">
        <v>98</v>
      </c>
      <c r="B52" s="9" t="s">
        <v>343</v>
      </c>
      <c r="C52" s="3" t="s">
        <v>45</v>
      </c>
      <c r="D52" s="9" t="s">
        <v>246</v>
      </c>
      <c r="E52" s="3" t="s">
        <v>45</v>
      </c>
      <c r="F52" s="9" t="s">
        <v>343</v>
      </c>
      <c r="G52" s="3" t="s">
        <v>31</v>
      </c>
      <c r="H52" s="7"/>
    </row>
    <row r="53" spans="1:8" ht="18" x14ac:dyDescent="0.25">
      <c r="A53" s="96" t="s">
        <v>100</v>
      </c>
      <c r="B53" s="9" t="s">
        <v>246</v>
      </c>
      <c r="C53" s="3" t="s">
        <v>45</v>
      </c>
      <c r="D53" s="9" t="s">
        <v>44</v>
      </c>
      <c r="E53" s="3" t="s">
        <v>45</v>
      </c>
      <c r="F53" s="9" t="s">
        <v>246</v>
      </c>
      <c r="G53" s="3" t="s">
        <v>31</v>
      </c>
      <c r="H53" s="7"/>
    </row>
    <row r="54" spans="1:8" x14ac:dyDescent="0.25">
      <c r="A54" s="8" t="s">
        <v>102</v>
      </c>
      <c r="B54" s="8" t="s">
        <v>41</v>
      </c>
      <c r="C54" s="8" t="s">
        <v>42</v>
      </c>
      <c r="D54" s="8" t="s">
        <v>41</v>
      </c>
      <c r="E54" s="8" t="s">
        <v>42</v>
      </c>
      <c r="F54" s="8" t="s">
        <v>41</v>
      </c>
      <c r="G54" s="8" t="s">
        <v>42</v>
      </c>
      <c r="H54" s="7"/>
    </row>
    <row r="55" spans="1:8" ht="27" x14ac:dyDescent="0.25">
      <c r="A55" s="96" t="s">
        <v>103</v>
      </c>
      <c r="B55" s="9" t="s">
        <v>104</v>
      </c>
      <c r="C55" s="3" t="s">
        <v>258</v>
      </c>
      <c r="D55" s="9" t="s">
        <v>104</v>
      </c>
      <c r="E55" s="3" t="s">
        <v>258</v>
      </c>
      <c r="F55" s="9" t="s">
        <v>104</v>
      </c>
      <c r="G55" s="3" t="s">
        <v>31</v>
      </c>
      <c r="H55" s="7"/>
    </row>
    <row r="56" spans="1:8" ht="27" x14ac:dyDescent="0.25">
      <c r="A56" s="3" t="s">
        <v>105</v>
      </c>
      <c r="B56" s="9" t="s">
        <v>371</v>
      </c>
      <c r="C56" s="3" t="s">
        <v>260</v>
      </c>
      <c r="D56" s="9" t="s">
        <v>371</v>
      </c>
      <c r="E56" s="3" t="s">
        <v>260</v>
      </c>
      <c r="F56" s="9" t="s">
        <v>45</v>
      </c>
      <c r="G56" s="3" t="s">
        <v>31</v>
      </c>
      <c r="H56" s="7"/>
    </row>
    <row r="57" spans="1:8" ht="27" x14ac:dyDescent="0.25">
      <c r="A57" s="3" t="s">
        <v>108</v>
      </c>
      <c r="B57" s="9" t="s">
        <v>70</v>
      </c>
      <c r="C57" s="3" t="s">
        <v>261</v>
      </c>
      <c r="D57" s="9" t="s">
        <v>70</v>
      </c>
      <c r="E57" s="3" t="s">
        <v>261</v>
      </c>
      <c r="F57" s="9" t="s">
        <v>45</v>
      </c>
      <c r="G57" s="3" t="s">
        <v>31</v>
      </c>
      <c r="H57" s="7"/>
    </row>
    <row r="58" spans="1:8" x14ac:dyDescent="0.25">
      <c r="A58" s="8" t="s">
        <v>109</v>
      </c>
      <c r="B58" s="8" t="s">
        <v>41</v>
      </c>
      <c r="C58" s="8" t="s">
        <v>42</v>
      </c>
      <c r="D58" s="8" t="s">
        <v>41</v>
      </c>
      <c r="E58" s="8" t="s">
        <v>42</v>
      </c>
      <c r="F58" s="8" t="s">
        <v>41</v>
      </c>
      <c r="G58" s="8" t="s">
        <v>42</v>
      </c>
      <c r="H58" s="7"/>
    </row>
    <row r="59" spans="1:8" x14ac:dyDescent="0.25">
      <c r="A59" s="96" t="s">
        <v>110</v>
      </c>
      <c r="B59" s="9" t="s">
        <v>315</v>
      </c>
      <c r="C59" s="3" t="s">
        <v>112</v>
      </c>
      <c r="D59" s="9" t="s">
        <v>315</v>
      </c>
      <c r="E59" s="3" t="s">
        <v>112</v>
      </c>
      <c r="F59" s="9" t="s">
        <v>611</v>
      </c>
      <c r="G59" s="3" t="s">
        <v>112</v>
      </c>
      <c r="H59" s="7"/>
    </row>
    <row r="60" spans="1:8" ht="18" x14ac:dyDescent="0.25">
      <c r="A60" s="3" t="s">
        <v>114</v>
      </c>
      <c r="B60" s="9" t="s">
        <v>377</v>
      </c>
      <c r="C60" s="3" t="s">
        <v>45</v>
      </c>
      <c r="D60" s="9" t="s">
        <v>265</v>
      </c>
      <c r="E60" s="3" t="s">
        <v>45</v>
      </c>
      <c r="F60" s="9" t="s">
        <v>377</v>
      </c>
      <c r="G60" s="3" t="s">
        <v>31</v>
      </c>
      <c r="H60" s="7"/>
    </row>
    <row r="61" spans="1:8" ht="18" x14ac:dyDescent="0.25">
      <c r="A61" s="8" t="s">
        <v>117</v>
      </c>
      <c r="B61" s="8" t="s">
        <v>41</v>
      </c>
      <c r="C61" s="8" t="s">
        <v>42</v>
      </c>
      <c r="D61" s="8" t="s">
        <v>41</v>
      </c>
      <c r="E61" s="8" t="s">
        <v>42</v>
      </c>
      <c r="F61" s="8" t="s">
        <v>41</v>
      </c>
      <c r="G61" s="8" t="s">
        <v>42</v>
      </c>
      <c r="H61" s="7"/>
    </row>
    <row r="62" spans="1:8" ht="27" x14ac:dyDescent="0.25">
      <c r="A62" s="3" t="s">
        <v>118</v>
      </c>
      <c r="B62" s="9" t="s">
        <v>379</v>
      </c>
      <c r="C62" s="3" t="s">
        <v>267</v>
      </c>
      <c r="D62" s="9" t="s">
        <v>379</v>
      </c>
      <c r="E62" s="3" t="s">
        <v>267</v>
      </c>
      <c r="F62" s="9" t="s">
        <v>119</v>
      </c>
      <c r="G62" s="3" t="s">
        <v>120</v>
      </c>
      <c r="H62" s="7"/>
    </row>
    <row r="63" spans="1:8" ht="18" x14ac:dyDescent="0.25">
      <c r="A63" s="3" t="s">
        <v>122</v>
      </c>
      <c r="B63" s="9" t="s">
        <v>70</v>
      </c>
      <c r="C63" s="3" t="s">
        <v>258</v>
      </c>
      <c r="D63" s="9" t="s">
        <v>70</v>
      </c>
      <c r="E63" s="3" t="s">
        <v>258</v>
      </c>
      <c r="F63" s="9" t="s">
        <v>45</v>
      </c>
      <c r="G63" s="3" t="s">
        <v>31</v>
      </c>
      <c r="H63" s="7"/>
    </row>
    <row r="64" spans="1:8" ht="27" x14ac:dyDescent="0.25">
      <c r="A64" s="3" t="s">
        <v>123</v>
      </c>
      <c r="B64" s="9" t="s">
        <v>383</v>
      </c>
      <c r="C64" s="3" t="s">
        <v>269</v>
      </c>
      <c r="D64" s="9" t="s">
        <v>383</v>
      </c>
      <c r="E64" s="3" t="s">
        <v>269</v>
      </c>
      <c r="F64" s="9" t="s">
        <v>124</v>
      </c>
      <c r="G64" s="3" t="s">
        <v>125</v>
      </c>
      <c r="H64" s="7"/>
    </row>
    <row r="65" spans="1:8" ht="18" x14ac:dyDescent="0.25">
      <c r="A65" s="3" t="s">
        <v>128</v>
      </c>
      <c r="B65" s="9" t="s">
        <v>70</v>
      </c>
      <c r="C65" s="3" t="s">
        <v>258</v>
      </c>
      <c r="D65" s="9" t="s">
        <v>70</v>
      </c>
      <c r="E65" s="3" t="s">
        <v>258</v>
      </c>
      <c r="F65" s="9" t="s">
        <v>45</v>
      </c>
      <c r="G65" s="3" t="s">
        <v>31</v>
      </c>
      <c r="H65" s="7"/>
    </row>
    <row r="66" spans="1:8" ht="18" x14ac:dyDescent="0.25">
      <c r="A66" s="3" t="s">
        <v>129</v>
      </c>
      <c r="B66" s="9" t="s">
        <v>70</v>
      </c>
      <c r="C66" s="3" t="s">
        <v>45</v>
      </c>
      <c r="D66" s="9" t="s">
        <v>70</v>
      </c>
      <c r="E66" s="3" t="s">
        <v>45</v>
      </c>
      <c r="F66" s="9" t="s">
        <v>45</v>
      </c>
      <c r="G66" s="3" t="s">
        <v>31</v>
      </c>
      <c r="H66" s="7"/>
    </row>
    <row r="67" spans="1:8" x14ac:dyDescent="0.25">
      <c r="A67" s="8" t="s">
        <v>130</v>
      </c>
      <c r="B67" s="8" t="s">
        <v>41</v>
      </c>
      <c r="C67" s="8" t="s">
        <v>42</v>
      </c>
      <c r="D67" s="8" t="s">
        <v>41</v>
      </c>
      <c r="E67" s="8" t="s">
        <v>42</v>
      </c>
      <c r="F67" s="8" t="s">
        <v>41</v>
      </c>
      <c r="G67" s="8" t="s">
        <v>42</v>
      </c>
      <c r="H67" s="7"/>
    </row>
    <row r="68" spans="1:8" x14ac:dyDescent="0.25">
      <c r="A68" s="96" t="s">
        <v>131</v>
      </c>
      <c r="B68" s="9" t="s">
        <v>612</v>
      </c>
      <c r="C68" s="3" t="s">
        <v>612</v>
      </c>
      <c r="D68" s="9" t="s">
        <v>612</v>
      </c>
      <c r="E68" s="3" t="s">
        <v>612</v>
      </c>
      <c r="F68" s="9" t="s">
        <v>612</v>
      </c>
      <c r="G68" s="3" t="s">
        <v>612</v>
      </c>
      <c r="H68" s="7"/>
    </row>
    <row r="69" spans="1:8" ht="18" x14ac:dyDescent="0.25">
      <c r="A69" s="96" t="s">
        <v>134</v>
      </c>
      <c r="B69" s="9" t="s">
        <v>246</v>
      </c>
      <c r="C69" s="3" t="s">
        <v>45</v>
      </c>
      <c r="D69" s="9" t="s">
        <v>44</v>
      </c>
      <c r="E69" s="3" t="s">
        <v>45</v>
      </c>
      <c r="F69" s="9" t="s">
        <v>246</v>
      </c>
      <c r="G69" s="3" t="s">
        <v>31</v>
      </c>
      <c r="H69" s="7"/>
    </row>
    <row r="70" spans="1:8" x14ac:dyDescent="0.25">
      <c r="A70" s="101" t="s">
        <v>135</v>
      </c>
      <c r="B70" s="24" t="s">
        <v>613</v>
      </c>
      <c r="C70" s="23" t="s">
        <v>613</v>
      </c>
      <c r="D70" s="24" t="s">
        <v>613</v>
      </c>
      <c r="E70" s="23" t="s">
        <v>613</v>
      </c>
      <c r="F70" s="24" t="s">
        <v>612</v>
      </c>
      <c r="G70" s="23" t="s">
        <v>612</v>
      </c>
      <c r="H70" s="7"/>
    </row>
    <row r="71" spans="1:8" ht="18" x14ac:dyDescent="0.25">
      <c r="A71" s="8" t="s">
        <v>136</v>
      </c>
      <c r="B71" s="8" t="s">
        <v>41</v>
      </c>
      <c r="C71" s="8" t="s">
        <v>42</v>
      </c>
      <c r="D71" s="8" t="s">
        <v>41</v>
      </c>
      <c r="E71" s="8" t="s">
        <v>42</v>
      </c>
      <c r="F71" s="8" t="s">
        <v>41</v>
      </c>
      <c r="G71" s="8" t="s">
        <v>42</v>
      </c>
      <c r="H71" s="7"/>
    </row>
    <row r="72" spans="1:8" ht="18" x14ac:dyDescent="0.25">
      <c r="A72" s="3" t="s">
        <v>85</v>
      </c>
      <c r="B72" s="9" t="s">
        <v>246</v>
      </c>
      <c r="C72" s="3" t="s">
        <v>45</v>
      </c>
      <c r="D72" s="9" t="s">
        <v>44</v>
      </c>
      <c r="E72" s="3" t="s">
        <v>45</v>
      </c>
      <c r="F72" s="9" t="s">
        <v>246</v>
      </c>
      <c r="G72" s="3" t="s">
        <v>31</v>
      </c>
      <c r="H72" s="7"/>
    </row>
    <row r="73" spans="1:8" ht="18" x14ac:dyDescent="0.25">
      <c r="A73" s="3" t="s">
        <v>138</v>
      </c>
      <c r="B73" s="9" t="s">
        <v>87</v>
      </c>
      <c r="C73" s="3" t="s">
        <v>45</v>
      </c>
      <c r="D73" s="9" t="s">
        <v>87</v>
      </c>
      <c r="E73" s="3" t="s">
        <v>45</v>
      </c>
      <c r="F73" s="9" t="s">
        <v>87</v>
      </c>
      <c r="G73" s="3" t="s">
        <v>31</v>
      </c>
      <c r="H73" s="7"/>
    </row>
    <row r="74" spans="1:8" ht="18" x14ac:dyDescent="0.25">
      <c r="A74" s="96" t="s">
        <v>94</v>
      </c>
      <c r="B74" s="9" t="s">
        <v>343</v>
      </c>
      <c r="C74" s="3" t="s">
        <v>45</v>
      </c>
      <c r="D74" s="9" t="s">
        <v>246</v>
      </c>
      <c r="E74" s="3" t="s">
        <v>45</v>
      </c>
      <c r="F74" s="9" t="s">
        <v>343</v>
      </c>
      <c r="G74" s="3" t="s">
        <v>31</v>
      </c>
      <c r="H74" s="7"/>
    </row>
    <row r="75" spans="1:8" ht="18" x14ac:dyDescent="0.25">
      <c r="A75" s="96" t="s">
        <v>141</v>
      </c>
      <c r="B75" s="9" t="s">
        <v>612</v>
      </c>
      <c r="C75" s="3" t="s">
        <v>45</v>
      </c>
      <c r="D75" s="9" t="s">
        <v>612</v>
      </c>
      <c r="E75" s="3" t="s">
        <v>45</v>
      </c>
      <c r="F75" s="9" t="s">
        <v>45</v>
      </c>
      <c r="G75" s="3" t="s">
        <v>31</v>
      </c>
      <c r="H75" s="7"/>
    </row>
    <row r="76" spans="1:8" ht="18" x14ac:dyDescent="0.25">
      <c r="A76" s="96" t="s">
        <v>98</v>
      </c>
      <c r="B76" s="9" t="s">
        <v>343</v>
      </c>
      <c r="C76" s="3" t="s">
        <v>45</v>
      </c>
      <c r="D76" s="9" t="s">
        <v>246</v>
      </c>
      <c r="E76" s="3" t="s">
        <v>45</v>
      </c>
      <c r="F76" s="9" t="s">
        <v>343</v>
      </c>
      <c r="G76" s="3" t="s">
        <v>31</v>
      </c>
      <c r="H76" s="7"/>
    </row>
    <row r="77" spans="1:8" ht="18" x14ac:dyDescent="0.25">
      <c r="A77" s="96" t="s">
        <v>143</v>
      </c>
      <c r="B77" s="9" t="s">
        <v>246</v>
      </c>
      <c r="C77" s="3" t="s">
        <v>45</v>
      </c>
      <c r="D77" s="9" t="s">
        <v>44</v>
      </c>
      <c r="E77" s="3" t="s">
        <v>45</v>
      </c>
      <c r="F77" s="9" t="s">
        <v>246</v>
      </c>
      <c r="G77" s="3" t="s">
        <v>31</v>
      </c>
      <c r="H77" s="7"/>
    </row>
    <row r="78" spans="1:8" ht="18" x14ac:dyDescent="0.25">
      <c r="A78" s="8" t="s">
        <v>144</v>
      </c>
      <c r="B78" s="8" t="s">
        <v>41</v>
      </c>
      <c r="C78" s="8" t="s">
        <v>42</v>
      </c>
      <c r="D78" s="8" t="s">
        <v>41</v>
      </c>
      <c r="E78" s="8" t="s">
        <v>42</v>
      </c>
      <c r="F78" s="8" t="s">
        <v>41</v>
      </c>
      <c r="G78" s="8" t="s">
        <v>42</v>
      </c>
      <c r="H78" s="7"/>
    </row>
    <row r="79" spans="1:8" ht="27" x14ac:dyDescent="0.25">
      <c r="A79" s="96" t="s">
        <v>145</v>
      </c>
      <c r="B79" s="9" t="s">
        <v>379</v>
      </c>
      <c r="C79" s="3" t="s">
        <v>267</v>
      </c>
      <c r="D79" s="9" t="s">
        <v>379</v>
      </c>
      <c r="E79" s="3" t="s">
        <v>267</v>
      </c>
      <c r="F79" s="9" t="s">
        <v>146</v>
      </c>
      <c r="G79" s="3" t="s">
        <v>120</v>
      </c>
      <c r="H79" s="7"/>
    </row>
    <row r="80" spans="1:8" ht="27" x14ac:dyDescent="0.25">
      <c r="A80" s="96" t="s">
        <v>147</v>
      </c>
      <c r="B80" s="9" t="s">
        <v>614</v>
      </c>
      <c r="C80" s="3" t="s">
        <v>45</v>
      </c>
      <c r="D80" s="9" t="s">
        <v>274</v>
      </c>
      <c r="E80" s="3" t="s">
        <v>45</v>
      </c>
      <c r="F80" s="9" t="s">
        <v>614</v>
      </c>
      <c r="G80" s="3" t="s">
        <v>31</v>
      </c>
      <c r="H80" s="7"/>
    </row>
    <row r="81" spans="1:8" ht="27" x14ac:dyDescent="0.25">
      <c r="A81" s="96" t="s">
        <v>149</v>
      </c>
      <c r="B81" s="9" t="s">
        <v>379</v>
      </c>
      <c r="C81" s="3" t="s">
        <v>267</v>
      </c>
      <c r="D81" s="9" t="s">
        <v>379</v>
      </c>
      <c r="E81" s="3" t="s">
        <v>267</v>
      </c>
      <c r="F81" s="9" t="s">
        <v>146</v>
      </c>
      <c r="G81" s="3" t="s">
        <v>120</v>
      </c>
      <c r="H81" s="7"/>
    </row>
    <row r="82" spans="1:8" ht="27" x14ac:dyDescent="0.25">
      <c r="A82" s="96" t="s">
        <v>150</v>
      </c>
      <c r="B82" s="9" t="s">
        <v>614</v>
      </c>
      <c r="C82" s="3" t="s">
        <v>45</v>
      </c>
      <c r="D82" s="9" t="s">
        <v>274</v>
      </c>
      <c r="E82" s="3" t="s">
        <v>45</v>
      </c>
      <c r="F82" s="9" t="s">
        <v>614</v>
      </c>
      <c r="G82" s="3" t="s">
        <v>31</v>
      </c>
      <c r="H82" s="7"/>
    </row>
    <row r="83" spans="1:8" x14ac:dyDescent="0.25">
      <c r="A83" s="8" t="s">
        <v>151</v>
      </c>
      <c r="B83" s="8" t="s">
        <v>41</v>
      </c>
      <c r="C83" s="8" t="s">
        <v>42</v>
      </c>
      <c r="D83" s="8" t="s">
        <v>41</v>
      </c>
      <c r="E83" s="8" t="s">
        <v>42</v>
      </c>
      <c r="F83" s="8" t="s">
        <v>41</v>
      </c>
      <c r="G83" s="8" t="s">
        <v>42</v>
      </c>
      <c r="H83" s="7"/>
    </row>
    <row r="84" spans="1:8" ht="27" x14ac:dyDescent="0.25">
      <c r="A84" s="3" t="s">
        <v>152</v>
      </c>
      <c r="B84" s="9" t="s">
        <v>392</v>
      </c>
      <c r="C84" s="3" t="s">
        <v>276</v>
      </c>
      <c r="D84" s="9" t="s">
        <v>392</v>
      </c>
      <c r="E84" s="3" t="s">
        <v>276</v>
      </c>
      <c r="F84" s="9" t="s">
        <v>153</v>
      </c>
      <c r="G84" s="3" t="s">
        <v>154</v>
      </c>
      <c r="H84" s="7"/>
    </row>
    <row r="85" spans="1:8" ht="27" x14ac:dyDescent="0.25">
      <c r="A85" s="3" t="s">
        <v>157</v>
      </c>
      <c r="B85" s="9" t="s">
        <v>396</v>
      </c>
      <c r="C85" s="3" t="s">
        <v>278</v>
      </c>
      <c r="D85" s="9" t="s">
        <v>277</v>
      </c>
      <c r="E85" s="3" t="s">
        <v>278</v>
      </c>
      <c r="F85" s="9" t="s">
        <v>158</v>
      </c>
      <c r="G85" s="3" t="s">
        <v>159</v>
      </c>
      <c r="H85" s="7"/>
    </row>
    <row r="86" spans="1:8" ht="27" x14ac:dyDescent="0.25">
      <c r="A86" s="3" t="s">
        <v>162</v>
      </c>
      <c r="B86" s="9" t="s">
        <v>400</v>
      </c>
      <c r="C86" s="3" t="s">
        <v>281</v>
      </c>
      <c r="D86" s="9" t="s">
        <v>400</v>
      </c>
      <c r="E86" s="3" t="s">
        <v>281</v>
      </c>
      <c r="F86" s="9" t="s">
        <v>163</v>
      </c>
      <c r="G86" s="3" t="s">
        <v>164</v>
      </c>
      <c r="H86" s="7"/>
    </row>
    <row r="87" spans="1:8" ht="45" x14ac:dyDescent="0.25">
      <c r="A87" s="96" t="s">
        <v>167</v>
      </c>
      <c r="B87" s="9" t="s">
        <v>404</v>
      </c>
      <c r="C87" s="3" t="s">
        <v>170</v>
      </c>
      <c r="D87" s="9" t="s">
        <v>615</v>
      </c>
      <c r="E87" s="3" t="s">
        <v>170</v>
      </c>
      <c r="F87" s="9" t="s">
        <v>616</v>
      </c>
      <c r="G87" s="3" t="s">
        <v>169</v>
      </c>
      <c r="H87" s="7"/>
    </row>
    <row r="88" spans="1:8" ht="18" x14ac:dyDescent="0.25">
      <c r="A88" s="96" t="s">
        <v>172</v>
      </c>
      <c r="B88" s="9" t="s">
        <v>287</v>
      </c>
      <c r="C88" s="3" t="s">
        <v>173</v>
      </c>
      <c r="D88" s="9" t="s">
        <v>287</v>
      </c>
      <c r="E88" s="3" t="s">
        <v>173</v>
      </c>
      <c r="F88" s="9" t="s">
        <v>173</v>
      </c>
      <c r="G88" s="3" t="s">
        <v>173</v>
      </c>
      <c r="H88" s="7"/>
    </row>
    <row r="89" spans="1:8" x14ac:dyDescent="0.25">
      <c r="A89" s="10" t="s">
        <v>174</v>
      </c>
      <c r="B89" s="11" t="s">
        <v>287</v>
      </c>
      <c r="C89" s="10" t="s">
        <v>520</v>
      </c>
      <c r="D89" s="11" t="s">
        <v>287</v>
      </c>
      <c r="E89" s="10" t="s">
        <v>520</v>
      </c>
      <c r="F89" s="11" t="s">
        <v>520</v>
      </c>
      <c r="G89" s="10" t="s">
        <v>520</v>
      </c>
      <c r="H89" s="7"/>
    </row>
    <row r="90" spans="1:8" x14ac:dyDescent="0.25">
      <c r="A90" s="14"/>
      <c r="B90" s="13"/>
      <c r="C90" s="3" t="s">
        <v>92</v>
      </c>
      <c r="D90" s="13"/>
      <c r="E90" s="3" t="s">
        <v>92</v>
      </c>
      <c r="F90" s="9" t="s">
        <v>92</v>
      </c>
      <c r="G90" s="3" t="s">
        <v>92</v>
      </c>
      <c r="H90" s="2"/>
    </row>
    <row r="91" spans="1:8" ht="18" x14ac:dyDescent="0.25">
      <c r="A91" s="96" t="s">
        <v>175</v>
      </c>
      <c r="B91" s="9" t="s">
        <v>343</v>
      </c>
      <c r="C91" s="3" t="s">
        <v>45</v>
      </c>
      <c r="D91" s="9" t="s">
        <v>246</v>
      </c>
      <c r="E91" s="3" t="s">
        <v>45</v>
      </c>
      <c r="F91" s="9" t="s">
        <v>343</v>
      </c>
      <c r="G91" s="3" t="s">
        <v>31</v>
      </c>
      <c r="H91" s="6"/>
    </row>
    <row r="92" spans="1:8" ht="18" x14ac:dyDescent="0.25">
      <c r="A92" s="3" t="s">
        <v>176</v>
      </c>
      <c r="B92" s="9" t="s">
        <v>246</v>
      </c>
      <c r="C92" s="3" t="s">
        <v>45</v>
      </c>
      <c r="D92" s="9" t="s">
        <v>44</v>
      </c>
      <c r="E92" s="3" t="s">
        <v>45</v>
      </c>
      <c r="F92" s="9" t="s">
        <v>246</v>
      </c>
      <c r="G92" s="3" t="s">
        <v>31</v>
      </c>
      <c r="H92" s="6"/>
    </row>
    <row r="93" spans="1:8" ht="27" x14ac:dyDescent="0.25">
      <c r="A93" s="3" t="s">
        <v>177</v>
      </c>
      <c r="B93" s="9" t="s">
        <v>288</v>
      </c>
      <c r="C93" s="3" t="s">
        <v>179</v>
      </c>
      <c r="D93" s="9" t="s">
        <v>288</v>
      </c>
      <c r="E93" s="3" t="s">
        <v>179</v>
      </c>
      <c r="F93" s="9" t="s">
        <v>178</v>
      </c>
      <c r="G93" s="3" t="s">
        <v>179</v>
      </c>
      <c r="H93" s="4"/>
    </row>
    <row r="94" spans="1:8" x14ac:dyDescent="0.25">
      <c r="A94" s="8" t="s">
        <v>180</v>
      </c>
      <c r="B94" s="8" t="s">
        <v>41</v>
      </c>
      <c r="C94" s="8" t="s">
        <v>42</v>
      </c>
      <c r="D94" s="8" t="s">
        <v>41</v>
      </c>
      <c r="E94" s="8" t="s">
        <v>42</v>
      </c>
      <c r="F94" s="8" t="s">
        <v>41</v>
      </c>
      <c r="G94" s="8" t="s">
        <v>42</v>
      </c>
      <c r="H94" s="6"/>
    </row>
    <row r="95" spans="1:8" ht="27" x14ac:dyDescent="0.25">
      <c r="A95" s="96" t="s">
        <v>181</v>
      </c>
      <c r="B95" s="9" t="s">
        <v>182</v>
      </c>
      <c r="C95" s="3" t="s">
        <v>191</v>
      </c>
      <c r="D95" s="9" t="s">
        <v>182</v>
      </c>
      <c r="E95" s="3" t="s">
        <v>191</v>
      </c>
      <c r="F95" s="9" t="s">
        <v>182</v>
      </c>
      <c r="G95" s="3" t="s">
        <v>183</v>
      </c>
      <c r="H95" s="4"/>
    </row>
    <row r="96" spans="1:8" ht="18" x14ac:dyDescent="0.25">
      <c r="A96" s="3" t="s">
        <v>185</v>
      </c>
      <c r="B96" s="9" t="s">
        <v>246</v>
      </c>
      <c r="C96" s="3" t="s">
        <v>45</v>
      </c>
      <c r="D96" s="9" t="s">
        <v>44</v>
      </c>
      <c r="E96" s="3" t="s">
        <v>45</v>
      </c>
      <c r="F96" s="9" t="s">
        <v>246</v>
      </c>
      <c r="G96" s="3" t="s">
        <v>31</v>
      </c>
      <c r="H96" s="6"/>
    </row>
    <row r="97" spans="1:8" x14ac:dyDescent="0.25">
      <c r="A97" s="97" t="s">
        <v>186</v>
      </c>
      <c r="B97" s="11" t="s">
        <v>187</v>
      </c>
      <c r="C97" s="10" t="s">
        <v>187</v>
      </c>
      <c r="D97" s="11" t="s">
        <v>187</v>
      </c>
      <c r="E97" s="10" t="s">
        <v>187</v>
      </c>
      <c r="F97" s="11" t="s">
        <v>187</v>
      </c>
      <c r="G97" s="10" t="s">
        <v>187</v>
      </c>
      <c r="H97" s="105"/>
    </row>
    <row r="98" spans="1:8" x14ac:dyDescent="0.25">
      <c r="A98" s="104"/>
      <c r="B98" s="12" t="s">
        <v>188</v>
      </c>
      <c r="C98" s="15" t="s">
        <v>188</v>
      </c>
      <c r="D98" s="12" t="s">
        <v>188</v>
      </c>
      <c r="E98" s="15" t="s">
        <v>188</v>
      </c>
      <c r="F98" s="12" t="s">
        <v>188</v>
      </c>
      <c r="G98" s="15" t="s">
        <v>188</v>
      </c>
      <c r="H98" s="105"/>
    </row>
    <row r="99" spans="1:8" ht="27" x14ac:dyDescent="0.25">
      <c r="A99" s="3" t="s">
        <v>189</v>
      </c>
      <c r="B99" s="9" t="s">
        <v>617</v>
      </c>
      <c r="C99" s="3" t="s">
        <v>191</v>
      </c>
      <c r="D99" s="9" t="s">
        <v>618</v>
      </c>
      <c r="E99" s="3" t="s">
        <v>191</v>
      </c>
      <c r="F99" s="9" t="s">
        <v>617</v>
      </c>
      <c r="G99" s="3" t="s">
        <v>183</v>
      </c>
      <c r="H99" s="4"/>
    </row>
    <row r="100" spans="1:8" ht="27" x14ac:dyDescent="0.25">
      <c r="A100" s="3" t="s">
        <v>192</v>
      </c>
      <c r="B100" s="9" t="s">
        <v>291</v>
      </c>
      <c r="C100" s="3" t="s">
        <v>193</v>
      </c>
      <c r="D100" s="9" t="s">
        <v>291</v>
      </c>
      <c r="E100" s="3" t="s">
        <v>193</v>
      </c>
      <c r="F100" s="9" t="s">
        <v>193</v>
      </c>
      <c r="G100" s="3" t="s">
        <v>193</v>
      </c>
      <c r="H100" s="4"/>
    </row>
    <row r="101" spans="1:8" x14ac:dyDescent="0.25">
      <c r="A101" s="8" t="s">
        <v>194</v>
      </c>
      <c r="B101" s="8" t="s">
        <v>41</v>
      </c>
      <c r="C101" s="8" t="s">
        <v>42</v>
      </c>
      <c r="D101" s="8" t="s">
        <v>41</v>
      </c>
      <c r="E101" s="8" t="s">
        <v>42</v>
      </c>
      <c r="F101" s="8" t="s">
        <v>41</v>
      </c>
      <c r="G101" s="8" t="s">
        <v>42</v>
      </c>
      <c r="H101" s="6"/>
    </row>
    <row r="102" spans="1:8" x14ac:dyDescent="0.25">
      <c r="A102" s="3" t="s">
        <v>195</v>
      </c>
      <c r="B102" s="9" t="s">
        <v>112</v>
      </c>
      <c r="C102" s="3" t="s">
        <v>112</v>
      </c>
      <c r="D102" s="9" t="s">
        <v>112</v>
      </c>
      <c r="E102" s="3" t="s">
        <v>112</v>
      </c>
      <c r="F102" s="9" t="s">
        <v>112</v>
      </c>
      <c r="G102" s="3" t="s">
        <v>112</v>
      </c>
      <c r="H102" s="6"/>
    </row>
    <row r="103" spans="1:8" ht="18" customHeight="1" x14ac:dyDescent="0.25">
      <c r="A103" s="97" t="s">
        <v>196</v>
      </c>
      <c r="B103" s="106" t="s">
        <v>292</v>
      </c>
      <c r="C103" s="10" t="s">
        <v>293</v>
      </c>
      <c r="D103" s="106" t="s">
        <v>292</v>
      </c>
      <c r="E103" s="10" t="s">
        <v>293</v>
      </c>
      <c r="F103" s="106" t="s">
        <v>197</v>
      </c>
      <c r="G103" s="10" t="s">
        <v>198</v>
      </c>
      <c r="H103" s="103"/>
    </row>
    <row r="104" spans="1:8" ht="27" x14ac:dyDescent="0.25">
      <c r="A104" s="104"/>
      <c r="B104" s="107"/>
      <c r="C104" s="15" t="s">
        <v>294</v>
      </c>
      <c r="D104" s="107"/>
      <c r="E104" s="15" t="s">
        <v>294</v>
      </c>
      <c r="F104" s="107"/>
      <c r="G104" s="15" t="s">
        <v>199</v>
      </c>
      <c r="H104" s="103"/>
    </row>
    <row r="105" spans="1:8" ht="18" x14ac:dyDescent="0.25">
      <c r="A105" s="3" t="s">
        <v>202</v>
      </c>
      <c r="B105" s="9" t="s">
        <v>287</v>
      </c>
      <c r="C105" s="3" t="s">
        <v>203</v>
      </c>
      <c r="D105" s="9" t="s">
        <v>287</v>
      </c>
      <c r="E105" s="3" t="s">
        <v>203</v>
      </c>
      <c r="F105" s="9" t="s">
        <v>173</v>
      </c>
      <c r="G105" s="3" t="s">
        <v>203</v>
      </c>
      <c r="H105" s="4"/>
    </row>
    <row r="106" spans="1:8" ht="45" x14ac:dyDescent="0.25">
      <c r="A106" s="3" t="s">
        <v>204</v>
      </c>
      <c r="B106" s="9" t="s">
        <v>619</v>
      </c>
      <c r="C106" s="3" t="s">
        <v>296</v>
      </c>
      <c r="D106" s="9" t="s">
        <v>619</v>
      </c>
      <c r="E106" s="3" t="s">
        <v>296</v>
      </c>
      <c r="F106" s="9" t="s">
        <v>296</v>
      </c>
      <c r="G106" s="3" t="s">
        <v>298</v>
      </c>
      <c r="H106" s="4"/>
    </row>
  </sheetData>
  <autoFilter ref="A1:H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6"/>
  <sheetViews>
    <sheetView workbookViewId="0"/>
  </sheetViews>
  <sheetFormatPr defaultColWidth="9" defaultRowHeight="15" x14ac:dyDescent="0.25"/>
  <cols>
    <col min="1" max="2" width="16" style="168" customWidth="1"/>
    <col min="3" max="18" width="35.5703125" style="178" customWidth="1"/>
    <col min="19" max="19" width="35.5703125" style="247" customWidth="1"/>
    <col min="20" max="31" width="35.5703125" style="178" customWidth="1"/>
  </cols>
  <sheetData>
    <row r="1" spans="1:31" s="160" customFormat="1" ht="36" customHeight="1" x14ac:dyDescent="0.25">
      <c r="A1" s="164"/>
      <c r="B1" s="172"/>
      <c r="C1" s="191" t="s">
        <v>716</v>
      </c>
      <c r="D1" s="191" t="s">
        <v>0</v>
      </c>
      <c r="E1" s="191" t="s">
        <v>1</v>
      </c>
      <c r="F1" s="191" t="s">
        <v>2</v>
      </c>
      <c r="G1" s="191" t="s">
        <v>238</v>
      </c>
      <c r="H1" s="191" t="s">
        <v>239</v>
      </c>
      <c r="I1" s="191" t="s">
        <v>240</v>
      </c>
      <c r="J1" s="191" t="s">
        <v>299</v>
      </c>
      <c r="K1" s="191" t="s">
        <v>300</v>
      </c>
      <c r="L1" s="191" t="s">
        <v>301</v>
      </c>
      <c r="M1" s="191" t="s">
        <v>332</v>
      </c>
      <c r="N1" s="191" t="s">
        <v>333</v>
      </c>
      <c r="O1" s="191" t="s">
        <v>334</v>
      </c>
      <c r="P1" s="191" t="s">
        <v>335</v>
      </c>
      <c r="Q1" s="191" t="s">
        <v>436</v>
      </c>
      <c r="R1" s="191" t="s">
        <v>437</v>
      </c>
      <c r="S1" s="236" t="s">
        <v>438</v>
      </c>
      <c r="T1" s="191" t="s">
        <v>332</v>
      </c>
      <c r="U1" s="191" t="s">
        <v>489</v>
      </c>
      <c r="V1" s="191" t="s">
        <v>506</v>
      </c>
      <c r="W1" s="191" t="s">
        <v>507</v>
      </c>
      <c r="X1" s="191" t="s">
        <v>508</v>
      </c>
      <c r="Y1" s="191" t="s">
        <v>557</v>
      </c>
      <c r="Z1" s="191" t="s">
        <v>558</v>
      </c>
      <c r="AA1" s="191" t="s">
        <v>559</v>
      </c>
      <c r="AB1" s="191" t="s">
        <v>560</v>
      </c>
      <c r="AC1" s="191" t="s">
        <v>599</v>
      </c>
      <c r="AD1" s="191" t="s">
        <v>600</v>
      </c>
      <c r="AE1" s="191" t="s">
        <v>601</v>
      </c>
    </row>
    <row r="2" spans="1:31" ht="23.25" x14ac:dyDescent="0.25">
      <c r="A2" s="337" t="s">
        <v>629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</row>
    <row r="3" spans="1:31" x14ac:dyDescent="0.25">
      <c r="A3" s="326" t="s">
        <v>630</v>
      </c>
      <c r="B3" s="327"/>
      <c r="C3" s="162"/>
      <c r="D3" s="175">
        <v>2250</v>
      </c>
      <c r="E3" s="175">
        <v>1800</v>
      </c>
      <c r="F3" s="175">
        <v>2000</v>
      </c>
      <c r="G3" s="162" t="s">
        <v>66</v>
      </c>
      <c r="H3" s="162" t="s">
        <v>66</v>
      </c>
      <c r="I3" s="175">
        <v>1600</v>
      </c>
      <c r="J3" s="175">
        <v>1000</v>
      </c>
      <c r="K3" s="175">
        <v>1000</v>
      </c>
      <c r="L3" s="175">
        <v>1100</v>
      </c>
      <c r="M3" s="162" t="s">
        <v>66</v>
      </c>
      <c r="N3" s="175">
        <v>1300</v>
      </c>
      <c r="O3" s="175">
        <v>600</v>
      </c>
      <c r="P3" s="175">
        <v>6100</v>
      </c>
      <c r="Q3" s="175">
        <v>5500</v>
      </c>
      <c r="R3" s="175">
        <v>7000</v>
      </c>
      <c r="S3" s="237">
        <v>6000</v>
      </c>
      <c r="T3" s="162" t="s">
        <v>66</v>
      </c>
      <c r="U3" s="162" t="s">
        <v>66</v>
      </c>
      <c r="V3" s="175">
        <v>2500</v>
      </c>
      <c r="W3" s="175">
        <v>2600</v>
      </c>
      <c r="X3" s="175">
        <v>2500</v>
      </c>
      <c r="Y3" s="175">
        <v>7500</v>
      </c>
      <c r="Z3" s="175">
        <v>2800</v>
      </c>
      <c r="AA3" s="175">
        <v>3200</v>
      </c>
      <c r="AB3" s="175">
        <v>3600</v>
      </c>
      <c r="AC3" s="162" t="s">
        <v>66</v>
      </c>
      <c r="AD3" s="162" t="s">
        <v>66</v>
      </c>
      <c r="AE3" s="175">
        <v>250</v>
      </c>
    </row>
    <row r="4" spans="1:31" x14ac:dyDescent="0.25">
      <c r="A4" s="326" t="s">
        <v>631</v>
      </c>
      <c r="B4" s="327"/>
      <c r="C4" s="162"/>
      <c r="D4" s="175">
        <v>4500</v>
      </c>
      <c r="E4" s="175">
        <v>3600</v>
      </c>
      <c r="F4" s="175">
        <v>4000</v>
      </c>
      <c r="G4" s="162" t="s">
        <v>66</v>
      </c>
      <c r="H4" s="162" t="s">
        <v>66</v>
      </c>
      <c r="I4" s="175">
        <v>3200</v>
      </c>
      <c r="J4" s="175">
        <v>2000</v>
      </c>
      <c r="K4" s="175">
        <v>2000</v>
      </c>
      <c r="L4" s="175">
        <v>2200</v>
      </c>
      <c r="M4" s="162" t="s">
        <v>66</v>
      </c>
      <c r="N4" s="175">
        <v>2600</v>
      </c>
      <c r="O4" s="175">
        <v>1200</v>
      </c>
      <c r="P4" s="175">
        <v>12200</v>
      </c>
      <c r="Q4" s="175">
        <v>11000</v>
      </c>
      <c r="R4" s="175">
        <v>14000</v>
      </c>
      <c r="S4" s="237">
        <v>12000</v>
      </c>
      <c r="T4" s="162" t="s">
        <v>66</v>
      </c>
      <c r="U4" s="162" t="s">
        <v>66</v>
      </c>
      <c r="V4" s="175">
        <v>5000</v>
      </c>
      <c r="W4" s="175">
        <v>5200</v>
      </c>
      <c r="X4" s="175">
        <v>5000</v>
      </c>
      <c r="Y4" s="175">
        <v>15000</v>
      </c>
      <c r="Z4" s="175">
        <v>5600</v>
      </c>
      <c r="AA4" s="175">
        <v>6400</v>
      </c>
      <c r="AB4" s="175">
        <v>7200</v>
      </c>
      <c r="AC4" s="162" t="s">
        <v>66</v>
      </c>
      <c r="AD4" s="162" t="s">
        <v>66</v>
      </c>
      <c r="AE4" s="175">
        <v>500</v>
      </c>
    </row>
    <row r="5" spans="1:31" s="207" customFormat="1" x14ac:dyDescent="0.25">
      <c r="A5" s="204" t="s">
        <v>632</v>
      </c>
      <c r="B5" s="205"/>
      <c r="C5" s="190" t="s">
        <v>723</v>
      </c>
      <c r="D5" s="252" t="s">
        <v>7</v>
      </c>
      <c r="E5" s="252" t="s">
        <v>8</v>
      </c>
      <c r="F5" s="252" t="s">
        <v>8</v>
      </c>
      <c r="G5" s="250" t="s">
        <v>7</v>
      </c>
      <c r="H5" s="251" t="s">
        <v>7</v>
      </c>
      <c r="I5" s="250" t="s">
        <v>8</v>
      </c>
      <c r="J5" s="253" t="s">
        <v>7</v>
      </c>
      <c r="K5" s="254" t="s">
        <v>7</v>
      </c>
      <c r="L5" s="253" t="s">
        <v>7</v>
      </c>
      <c r="M5" s="255" t="s">
        <v>7</v>
      </c>
      <c r="N5" s="256" t="s">
        <v>7</v>
      </c>
      <c r="O5" s="255" t="s">
        <v>7</v>
      </c>
      <c r="P5" s="257" t="s">
        <v>7</v>
      </c>
      <c r="Q5" s="258" t="s">
        <v>8</v>
      </c>
      <c r="R5" s="257" t="s">
        <v>8</v>
      </c>
      <c r="S5" s="258" t="s">
        <v>8</v>
      </c>
      <c r="T5" s="258" t="s">
        <v>8</v>
      </c>
      <c r="U5" s="255" t="s">
        <v>7</v>
      </c>
      <c r="V5" s="255" t="s">
        <v>7</v>
      </c>
      <c r="W5" s="256" t="s">
        <v>8</v>
      </c>
      <c r="X5" s="255" t="s">
        <v>8</v>
      </c>
      <c r="Y5" s="255" t="s">
        <v>7</v>
      </c>
      <c r="Z5" s="256" t="s">
        <v>8</v>
      </c>
      <c r="AA5" s="255" t="s">
        <v>7</v>
      </c>
      <c r="AB5" s="256" t="s">
        <v>8</v>
      </c>
      <c r="AC5" s="257" t="s">
        <v>7</v>
      </c>
      <c r="AD5" s="258" t="s">
        <v>7</v>
      </c>
      <c r="AE5" s="257" t="s">
        <v>7</v>
      </c>
    </row>
    <row r="6" spans="1:31" x14ac:dyDescent="0.25">
      <c r="A6" s="318" t="s">
        <v>633</v>
      </c>
      <c r="B6" s="319"/>
      <c r="C6" s="162"/>
      <c r="D6" s="175">
        <v>6850</v>
      </c>
      <c r="E6" s="175">
        <v>3600</v>
      </c>
      <c r="F6" s="175">
        <v>6000</v>
      </c>
      <c r="G6" s="175">
        <v>7900</v>
      </c>
      <c r="H6" s="175">
        <v>8000</v>
      </c>
      <c r="I6" s="175">
        <v>3200</v>
      </c>
      <c r="J6" s="175">
        <v>5500</v>
      </c>
      <c r="K6" s="175">
        <v>8150</v>
      </c>
      <c r="L6" s="175">
        <v>8250</v>
      </c>
      <c r="M6" s="175">
        <v>2000</v>
      </c>
      <c r="N6" s="175">
        <v>8500</v>
      </c>
      <c r="O6" s="175">
        <v>4000</v>
      </c>
      <c r="P6" s="175">
        <v>6900</v>
      </c>
      <c r="Q6" s="175">
        <v>7000</v>
      </c>
      <c r="R6" s="175">
        <v>7000</v>
      </c>
      <c r="S6" s="237">
        <v>7000</v>
      </c>
      <c r="T6" s="175">
        <v>2000</v>
      </c>
      <c r="U6" s="175">
        <v>6550</v>
      </c>
      <c r="V6" s="175">
        <v>8000</v>
      </c>
      <c r="W6" s="175">
        <v>7000</v>
      </c>
      <c r="X6" s="175">
        <v>6750</v>
      </c>
      <c r="Y6" s="175">
        <v>8250</v>
      </c>
      <c r="Z6" s="175">
        <v>6550</v>
      </c>
      <c r="AA6" s="175">
        <v>6550</v>
      </c>
      <c r="AB6" s="175">
        <v>6550</v>
      </c>
      <c r="AC6" s="175">
        <v>5000</v>
      </c>
      <c r="AD6" s="175">
        <v>4500</v>
      </c>
      <c r="AE6" s="175">
        <v>2000</v>
      </c>
    </row>
    <row r="7" spans="1:31" ht="18" customHeight="1" x14ac:dyDescent="0.25">
      <c r="A7" s="318" t="s">
        <v>634</v>
      </c>
      <c r="B7" s="319"/>
      <c r="C7" s="162"/>
      <c r="D7" s="175">
        <v>13700</v>
      </c>
      <c r="E7" s="175">
        <v>7200</v>
      </c>
      <c r="F7" s="175">
        <v>12000</v>
      </c>
      <c r="G7" s="175">
        <v>15800</v>
      </c>
      <c r="H7" s="175">
        <v>16000</v>
      </c>
      <c r="I7" s="175">
        <v>6400</v>
      </c>
      <c r="J7" s="175">
        <v>11000</v>
      </c>
      <c r="K7" s="175">
        <v>16300</v>
      </c>
      <c r="L7" s="175">
        <v>16500</v>
      </c>
      <c r="M7" s="175">
        <v>4000</v>
      </c>
      <c r="N7" s="175">
        <v>17000</v>
      </c>
      <c r="O7" s="175">
        <v>8000</v>
      </c>
      <c r="P7" s="175">
        <v>13800</v>
      </c>
      <c r="Q7" s="175">
        <v>14000</v>
      </c>
      <c r="R7" s="175">
        <v>14000</v>
      </c>
      <c r="S7" s="237">
        <v>14000</v>
      </c>
      <c r="T7" s="175">
        <v>4000</v>
      </c>
      <c r="U7" s="175">
        <v>13100</v>
      </c>
      <c r="V7" s="175">
        <v>16000</v>
      </c>
      <c r="W7" s="175">
        <v>14000</v>
      </c>
      <c r="X7" s="175">
        <v>13500</v>
      </c>
      <c r="Y7" s="175">
        <v>16500</v>
      </c>
      <c r="Z7" s="175">
        <v>13100</v>
      </c>
      <c r="AA7" s="175">
        <v>13100</v>
      </c>
      <c r="AB7" s="175">
        <v>13100</v>
      </c>
      <c r="AC7" s="175">
        <v>10000</v>
      </c>
      <c r="AD7" s="175">
        <v>9000</v>
      </c>
      <c r="AE7" s="175">
        <v>4000</v>
      </c>
    </row>
    <row r="8" spans="1:31" x14ac:dyDescent="0.25">
      <c r="A8" s="318" t="s">
        <v>50</v>
      </c>
      <c r="B8" s="319"/>
      <c r="C8" s="162"/>
      <c r="D8" s="162" t="s">
        <v>51</v>
      </c>
      <c r="E8" s="162" t="s">
        <v>51</v>
      </c>
      <c r="F8" s="162" t="s">
        <v>53</v>
      </c>
      <c r="G8" s="162" t="s">
        <v>66</v>
      </c>
      <c r="H8" s="162" t="s">
        <v>66</v>
      </c>
      <c r="I8" s="162" t="s">
        <v>51</v>
      </c>
      <c r="J8" s="162" t="s">
        <v>51</v>
      </c>
      <c r="K8" s="162" t="s">
        <v>51</v>
      </c>
      <c r="L8" s="162" t="s">
        <v>51</v>
      </c>
      <c r="M8" s="162" t="s">
        <v>66</v>
      </c>
      <c r="N8" s="162" t="s">
        <v>53</v>
      </c>
      <c r="O8" s="162" t="s">
        <v>53</v>
      </c>
      <c r="P8" s="162" t="s">
        <v>287</v>
      </c>
      <c r="Q8" s="162" t="s">
        <v>287</v>
      </c>
      <c r="R8" s="162" t="s">
        <v>53</v>
      </c>
      <c r="S8" s="238" t="s">
        <v>53</v>
      </c>
      <c r="T8" s="162" t="s">
        <v>66</v>
      </c>
      <c r="U8" s="162" t="s">
        <v>66</v>
      </c>
      <c r="V8" s="162" t="s">
        <v>512</v>
      </c>
      <c r="W8" s="162" t="s">
        <v>51</v>
      </c>
      <c r="X8" s="162" t="s">
        <v>53</v>
      </c>
      <c r="Y8" s="162" t="s">
        <v>566</v>
      </c>
      <c r="Z8" s="162" t="s">
        <v>51</v>
      </c>
      <c r="AA8" s="162" t="s">
        <v>51</v>
      </c>
      <c r="AB8" s="162" t="s">
        <v>51</v>
      </c>
      <c r="AC8" s="162" t="s">
        <v>66</v>
      </c>
      <c r="AD8" s="162" t="s">
        <v>66</v>
      </c>
      <c r="AE8" s="162" t="s">
        <v>51</v>
      </c>
    </row>
    <row r="9" spans="1:31" ht="18" x14ac:dyDescent="0.25">
      <c r="A9" s="166" t="s">
        <v>636</v>
      </c>
      <c r="B9" s="173"/>
      <c r="C9" s="162" t="s">
        <v>724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238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</row>
    <row r="10" spans="1:31" ht="22.5" customHeight="1" x14ac:dyDescent="0.25">
      <c r="A10" s="329" t="s">
        <v>637</v>
      </c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</row>
    <row r="11" spans="1:31" ht="18" customHeight="1" x14ac:dyDescent="0.25">
      <c r="A11" s="335" t="s">
        <v>71</v>
      </c>
      <c r="B11" s="336"/>
      <c r="C11" s="163"/>
      <c r="D11" s="176" t="s">
        <v>70</v>
      </c>
      <c r="E11" s="176" t="s">
        <v>70</v>
      </c>
      <c r="F11" s="176" t="s">
        <v>70</v>
      </c>
      <c r="G11" s="176" t="s">
        <v>70</v>
      </c>
      <c r="H11" s="176" t="s">
        <v>70</v>
      </c>
      <c r="I11" s="176" t="s">
        <v>70</v>
      </c>
      <c r="J11" s="176" t="s">
        <v>70</v>
      </c>
      <c r="K11" s="176" t="s">
        <v>70</v>
      </c>
      <c r="L11" s="176" t="s">
        <v>70</v>
      </c>
      <c r="M11" s="176" t="s">
        <v>70</v>
      </c>
      <c r="N11" s="176" t="s">
        <v>70</v>
      </c>
      <c r="O11" s="176" t="s">
        <v>70</v>
      </c>
      <c r="P11" s="176" t="s">
        <v>70</v>
      </c>
      <c r="Q11" s="176" t="s">
        <v>70</v>
      </c>
      <c r="R11" s="176" t="s">
        <v>70</v>
      </c>
      <c r="S11" s="239" t="s">
        <v>70</v>
      </c>
      <c r="T11" s="176" t="s">
        <v>70</v>
      </c>
      <c r="U11" s="176" t="s">
        <v>70</v>
      </c>
      <c r="V11" s="176" t="s">
        <v>70</v>
      </c>
      <c r="W11" s="176" t="s">
        <v>70</v>
      </c>
      <c r="X11" s="176" t="s">
        <v>70</v>
      </c>
      <c r="Y11" s="176" t="s">
        <v>70</v>
      </c>
      <c r="Z11" s="176" t="s">
        <v>70</v>
      </c>
      <c r="AA11" s="176" t="s">
        <v>70</v>
      </c>
      <c r="AB11" s="176" t="s">
        <v>70</v>
      </c>
      <c r="AC11" s="176" t="s">
        <v>70</v>
      </c>
      <c r="AD11" s="176" t="s">
        <v>70</v>
      </c>
      <c r="AE11" s="176" t="s">
        <v>70</v>
      </c>
    </row>
    <row r="12" spans="1:31" x14ac:dyDescent="0.25">
      <c r="A12" s="318" t="s">
        <v>75</v>
      </c>
      <c r="B12" s="319"/>
      <c r="C12" s="162"/>
      <c r="D12" s="162" t="s">
        <v>70</v>
      </c>
      <c r="E12" s="162" t="s">
        <v>70</v>
      </c>
      <c r="F12" s="162" t="s">
        <v>70</v>
      </c>
      <c r="G12" s="162" t="s">
        <v>70</v>
      </c>
      <c r="H12" s="162" t="s">
        <v>70</v>
      </c>
      <c r="I12" s="162" t="s">
        <v>70</v>
      </c>
      <c r="J12" s="162" t="s">
        <v>70</v>
      </c>
      <c r="K12" s="162" t="s">
        <v>70</v>
      </c>
      <c r="L12" s="162" t="s">
        <v>70</v>
      </c>
      <c r="M12" s="162" t="s">
        <v>70</v>
      </c>
      <c r="N12" s="162" t="s">
        <v>70</v>
      </c>
      <c r="O12" s="162" t="s">
        <v>70</v>
      </c>
      <c r="P12" s="162" t="s">
        <v>70</v>
      </c>
      <c r="Q12" s="162" t="s">
        <v>70</v>
      </c>
      <c r="R12" s="162" t="s">
        <v>70</v>
      </c>
      <c r="S12" s="238" t="s">
        <v>70</v>
      </c>
      <c r="T12" s="162" t="s">
        <v>70</v>
      </c>
      <c r="U12" s="162" t="s">
        <v>70</v>
      </c>
      <c r="V12" s="162" t="s">
        <v>70</v>
      </c>
      <c r="W12" s="162" t="s">
        <v>70</v>
      </c>
      <c r="X12" s="162" t="s">
        <v>70</v>
      </c>
      <c r="Y12" s="162" t="s">
        <v>70</v>
      </c>
      <c r="Z12" s="162" t="s">
        <v>70</v>
      </c>
      <c r="AA12" s="162" t="s">
        <v>70</v>
      </c>
      <c r="AB12" s="162" t="s">
        <v>70</v>
      </c>
      <c r="AC12" s="162" t="s">
        <v>70</v>
      </c>
      <c r="AD12" s="162" t="s">
        <v>70</v>
      </c>
      <c r="AE12" s="162" t="s">
        <v>70</v>
      </c>
    </row>
    <row r="13" spans="1:31" ht="18" customHeight="1" x14ac:dyDescent="0.25">
      <c r="A13" s="318" t="s">
        <v>713</v>
      </c>
      <c r="B13" s="319"/>
      <c r="C13" s="162"/>
      <c r="D13" s="162" t="s">
        <v>70</v>
      </c>
      <c r="E13" s="162" t="s">
        <v>70</v>
      </c>
      <c r="F13" s="162" t="s">
        <v>70</v>
      </c>
      <c r="G13" s="162" t="s">
        <v>70</v>
      </c>
      <c r="H13" s="162" t="s">
        <v>70</v>
      </c>
      <c r="I13" s="162" t="s">
        <v>70</v>
      </c>
      <c r="J13" s="162" t="s">
        <v>70</v>
      </c>
      <c r="K13" s="162" t="s">
        <v>70</v>
      </c>
      <c r="L13" s="162" t="s">
        <v>70</v>
      </c>
      <c r="M13" s="162" t="s">
        <v>70</v>
      </c>
      <c r="N13" s="162" t="s">
        <v>70</v>
      </c>
      <c r="O13" s="162" t="s">
        <v>70</v>
      </c>
      <c r="P13" s="162" t="s">
        <v>70</v>
      </c>
      <c r="Q13" s="162" t="s">
        <v>70</v>
      </c>
      <c r="R13" s="162" t="s">
        <v>70</v>
      </c>
      <c r="S13" s="238" t="s">
        <v>70</v>
      </c>
      <c r="T13" s="162" t="s">
        <v>70</v>
      </c>
      <c r="U13" s="162" t="s">
        <v>70</v>
      </c>
      <c r="V13" s="162" t="s">
        <v>70</v>
      </c>
      <c r="W13" s="162" t="s">
        <v>70</v>
      </c>
      <c r="X13" s="162" t="s">
        <v>70</v>
      </c>
      <c r="Y13" s="162" t="s">
        <v>70</v>
      </c>
      <c r="Z13" s="162" t="s">
        <v>70</v>
      </c>
      <c r="AA13" s="162" t="s">
        <v>70</v>
      </c>
      <c r="AB13" s="162" t="s">
        <v>70</v>
      </c>
      <c r="AC13" s="162" t="s">
        <v>70</v>
      </c>
      <c r="AD13" s="162" t="s">
        <v>70</v>
      </c>
      <c r="AE13" s="162" t="s">
        <v>70</v>
      </c>
    </row>
    <row r="14" spans="1:31" x14ac:dyDescent="0.25">
      <c r="A14" s="318" t="s">
        <v>714</v>
      </c>
      <c r="B14" s="319"/>
      <c r="C14" s="162"/>
      <c r="D14" s="162" t="s">
        <v>70</v>
      </c>
      <c r="E14" s="162" t="s">
        <v>70</v>
      </c>
      <c r="F14" s="162" t="s">
        <v>70</v>
      </c>
      <c r="G14" s="162" t="s">
        <v>70</v>
      </c>
      <c r="H14" s="162" t="s">
        <v>70</v>
      </c>
      <c r="I14" s="162" t="s">
        <v>70</v>
      </c>
      <c r="J14" s="162" t="s">
        <v>70</v>
      </c>
      <c r="K14" s="162" t="s">
        <v>70</v>
      </c>
      <c r="L14" s="162" t="s">
        <v>70</v>
      </c>
      <c r="M14" s="162" t="s">
        <v>70</v>
      </c>
      <c r="N14" s="162" t="s">
        <v>70</v>
      </c>
      <c r="O14" s="162" t="s">
        <v>70</v>
      </c>
      <c r="P14" s="162" t="s">
        <v>70</v>
      </c>
      <c r="Q14" s="162" t="s">
        <v>70</v>
      </c>
      <c r="R14" s="162" t="s">
        <v>70</v>
      </c>
      <c r="S14" s="238" t="s">
        <v>70</v>
      </c>
      <c r="T14" s="162" t="s">
        <v>70</v>
      </c>
      <c r="U14" s="162" t="s">
        <v>70</v>
      </c>
      <c r="V14" s="162" t="s">
        <v>70</v>
      </c>
      <c r="W14" s="162" t="s">
        <v>70</v>
      </c>
      <c r="X14" s="162" t="s">
        <v>70</v>
      </c>
      <c r="Y14" s="162" t="s">
        <v>70</v>
      </c>
      <c r="Z14" s="162" t="s">
        <v>70</v>
      </c>
      <c r="AA14" s="162" t="s">
        <v>70</v>
      </c>
      <c r="AB14" s="162" t="s">
        <v>70</v>
      </c>
      <c r="AC14" s="162" t="s">
        <v>70</v>
      </c>
      <c r="AD14" s="162" t="s">
        <v>70</v>
      </c>
      <c r="AE14" s="162" t="s">
        <v>70</v>
      </c>
    </row>
    <row r="15" spans="1:31" x14ac:dyDescent="0.25">
      <c r="A15" s="318" t="s">
        <v>69</v>
      </c>
      <c r="B15" s="319"/>
      <c r="C15" s="162"/>
      <c r="D15" s="162" t="s">
        <v>70</v>
      </c>
      <c r="E15" s="162" t="s">
        <v>70</v>
      </c>
      <c r="F15" s="162" t="s">
        <v>70</v>
      </c>
      <c r="G15" s="162" t="s">
        <v>70</v>
      </c>
      <c r="H15" s="162" t="s">
        <v>70</v>
      </c>
      <c r="I15" s="162" t="s">
        <v>70</v>
      </c>
      <c r="J15" s="162" t="s">
        <v>70</v>
      </c>
      <c r="K15" s="162" t="s">
        <v>70</v>
      </c>
      <c r="L15" s="162" t="s">
        <v>70</v>
      </c>
      <c r="M15" s="162" t="s">
        <v>70</v>
      </c>
      <c r="N15" s="162" t="s">
        <v>70</v>
      </c>
      <c r="O15" s="162" t="s">
        <v>70</v>
      </c>
      <c r="P15" s="162" t="s">
        <v>70</v>
      </c>
      <c r="Q15" s="162" t="s">
        <v>70</v>
      </c>
      <c r="R15" s="162" t="s">
        <v>70</v>
      </c>
      <c r="S15" s="238" t="s">
        <v>70</v>
      </c>
      <c r="T15" s="162" t="s">
        <v>70</v>
      </c>
      <c r="U15" s="162" t="s">
        <v>70</v>
      </c>
      <c r="V15" s="162" t="s">
        <v>70</v>
      </c>
      <c r="W15" s="162" t="s">
        <v>70</v>
      </c>
      <c r="X15" s="162" t="s">
        <v>70</v>
      </c>
      <c r="Y15" s="162" t="s">
        <v>70</v>
      </c>
      <c r="Z15" s="162" t="s">
        <v>70</v>
      </c>
      <c r="AA15" s="162" t="s">
        <v>70</v>
      </c>
      <c r="AB15" s="162" t="s">
        <v>70</v>
      </c>
      <c r="AC15" s="162" t="s">
        <v>70</v>
      </c>
      <c r="AD15" s="162" t="s">
        <v>70</v>
      </c>
      <c r="AE15" s="162" t="s">
        <v>70</v>
      </c>
    </row>
    <row r="16" spans="1:31" ht="22.5" customHeight="1" x14ac:dyDescent="0.25">
      <c r="A16" s="329" t="s">
        <v>643</v>
      </c>
      <c r="B16" s="330"/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1"/>
    </row>
    <row r="17" spans="1:32" x14ac:dyDescent="0.25">
      <c r="A17" s="318" t="s">
        <v>43</v>
      </c>
      <c r="B17" s="319"/>
      <c r="C17" s="162"/>
      <c r="D17" s="162" t="s">
        <v>44</v>
      </c>
      <c r="E17" s="162" t="s">
        <v>45</v>
      </c>
      <c r="F17" s="162" t="s">
        <v>46</v>
      </c>
      <c r="G17" s="162" t="s">
        <v>246</v>
      </c>
      <c r="H17" s="162" t="s">
        <v>44</v>
      </c>
      <c r="I17" s="162" t="s">
        <v>45</v>
      </c>
      <c r="J17" s="162" t="s">
        <v>46</v>
      </c>
      <c r="K17" s="162" t="s">
        <v>305</v>
      </c>
      <c r="L17" s="162" t="s">
        <v>44</v>
      </c>
      <c r="M17" s="162" t="s">
        <v>343</v>
      </c>
      <c r="N17" s="162" t="s">
        <v>344</v>
      </c>
      <c r="O17" s="162" t="s">
        <v>46</v>
      </c>
      <c r="P17" s="162" t="s">
        <v>173</v>
      </c>
      <c r="Q17" s="162" t="s">
        <v>173</v>
      </c>
      <c r="R17" s="162" t="s">
        <v>218</v>
      </c>
      <c r="S17" s="238" t="s">
        <v>49</v>
      </c>
      <c r="T17" s="162" t="s">
        <v>343</v>
      </c>
      <c r="U17" s="162" t="s">
        <v>305</v>
      </c>
      <c r="V17" s="162" t="s">
        <v>49</v>
      </c>
      <c r="W17" s="162" t="s">
        <v>45</v>
      </c>
      <c r="X17" s="162" t="s">
        <v>46</v>
      </c>
      <c r="Y17" s="162" t="s">
        <v>247</v>
      </c>
      <c r="Z17" s="162" t="s">
        <v>45</v>
      </c>
      <c r="AA17" s="162" t="s">
        <v>45</v>
      </c>
      <c r="AB17" s="162" t="s">
        <v>45</v>
      </c>
      <c r="AC17" s="162" t="s">
        <v>343</v>
      </c>
      <c r="AD17" s="162" t="s">
        <v>246</v>
      </c>
      <c r="AE17" s="162" t="s">
        <v>343</v>
      </c>
    </row>
    <row r="18" spans="1:32" x14ac:dyDescent="0.25">
      <c r="A18" s="318" t="s">
        <v>47</v>
      </c>
      <c r="B18" s="319"/>
      <c r="C18" s="162"/>
      <c r="D18" s="162" t="s">
        <v>48</v>
      </c>
      <c r="E18" s="162" t="s">
        <v>45</v>
      </c>
      <c r="F18" s="162" t="s">
        <v>49</v>
      </c>
      <c r="G18" s="162" t="s">
        <v>247</v>
      </c>
      <c r="H18" s="162" t="s">
        <v>248</v>
      </c>
      <c r="I18" s="162" t="s">
        <v>45</v>
      </c>
      <c r="J18" s="162" t="s">
        <v>49</v>
      </c>
      <c r="K18" s="162" t="s">
        <v>247</v>
      </c>
      <c r="L18" s="162" t="s">
        <v>48</v>
      </c>
      <c r="M18" s="162" t="s">
        <v>345</v>
      </c>
      <c r="N18" s="162" t="s">
        <v>346</v>
      </c>
      <c r="O18" s="162" t="s">
        <v>49</v>
      </c>
      <c r="P18" s="162" t="s">
        <v>173</v>
      </c>
      <c r="Q18" s="162" t="s">
        <v>173</v>
      </c>
      <c r="R18" s="162" t="s">
        <v>218</v>
      </c>
      <c r="S18" s="238" t="s">
        <v>227</v>
      </c>
      <c r="T18" s="162" t="s">
        <v>345</v>
      </c>
      <c r="U18" s="162" t="s">
        <v>247</v>
      </c>
      <c r="V18" s="162" t="s">
        <v>227</v>
      </c>
      <c r="W18" s="162" t="s">
        <v>45</v>
      </c>
      <c r="X18" s="162" t="s">
        <v>346</v>
      </c>
      <c r="Y18" s="162" t="s">
        <v>565</v>
      </c>
      <c r="Z18" s="162" t="s">
        <v>45</v>
      </c>
      <c r="AA18" s="162" t="s">
        <v>45</v>
      </c>
      <c r="AB18" s="162" t="s">
        <v>45</v>
      </c>
      <c r="AC18" s="162" t="s">
        <v>246</v>
      </c>
      <c r="AD18" s="162" t="s">
        <v>44</v>
      </c>
      <c r="AE18" s="162" t="s">
        <v>246</v>
      </c>
    </row>
    <row r="19" spans="1:32" ht="18" customHeight="1" x14ac:dyDescent="0.25">
      <c r="A19" s="318" t="s">
        <v>134</v>
      </c>
      <c r="B19" s="319"/>
      <c r="C19" s="162"/>
      <c r="D19" s="162" t="s">
        <v>48</v>
      </c>
      <c r="E19" s="162" t="s">
        <v>45</v>
      </c>
      <c r="F19" s="162" t="s">
        <v>49</v>
      </c>
      <c r="G19" s="162" t="s">
        <v>247</v>
      </c>
      <c r="H19" s="162" t="s">
        <v>248</v>
      </c>
      <c r="I19" s="162" t="s">
        <v>45</v>
      </c>
      <c r="J19" s="162" t="s">
        <v>49</v>
      </c>
      <c r="K19" s="162" t="s">
        <v>247</v>
      </c>
      <c r="L19" s="162" t="s">
        <v>48</v>
      </c>
      <c r="M19" s="162" t="s">
        <v>388</v>
      </c>
      <c r="N19" s="162" t="s">
        <v>389</v>
      </c>
      <c r="O19" s="162" t="s">
        <v>227</v>
      </c>
      <c r="P19" s="162" t="s">
        <v>173</v>
      </c>
      <c r="Q19" s="162" t="s">
        <v>173</v>
      </c>
      <c r="R19" s="162" t="s">
        <v>218</v>
      </c>
      <c r="S19" s="238" t="s">
        <v>227</v>
      </c>
      <c r="T19" s="162" t="s">
        <v>388</v>
      </c>
      <c r="U19" s="162" t="s">
        <v>247</v>
      </c>
      <c r="V19" s="162" t="s">
        <v>227</v>
      </c>
      <c r="W19" s="162" t="s">
        <v>45</v>
      </c>
      <c r="X19" s="162" t="s">
        <v>346</v>
      </c>
      <c r="Y19" s="162" t="s">
        <v>565</v>
      </c>
      <c r="Z19" s="162" t="s">
        <v>45</v>
      </c>
      <c r="AA19" s="162" t="s">
        <v>45</v>
      </c>
      <c r="AB19" s="162" t="s">
        <v>45</v>
      </c>
      <c r="AC19" s="162" t="s">
        <v>246</v>
      </c>
      <c r="AD19" s="162" t="s">
        <v>44</v>
      </c>
      <c r="AE19" s="162" t="s">
        <v>246</v>
      </c>
    </row>
    <row r="20" spans="1:32" ht="18" x14ac:dyDescent="0.25">
      <c r="A20" s="318" t="s">
        <v>85</v>
      </c>
      <c r="B20" s="319"/>
      <c r="C20" s="162"/>
      <c r="D20" s="162" t="s">
        <v>48</v>
      </c>
      <c r="E20" s="162" t="s">
        <v>45</v>
      </c>
      <c r="F20" s="162" t="s">
        <v>49</v>
      </c>
      <c r="G20" s="162" t="s">
        <v>247</v>
      </c>
      <c r="H20" s="162" t="s">
        <v>248</v>
      </c>
      <c r="I20" s="162" t="s">
        <v>45</v>
      </c>
      <c r="J20" s="162" t="s">
        <v>137</v>
      </c>
      <c r="K20" s="162" t="s">
        <v>247</v>
      </c>
      <c r="L20" s="162" t="s">
        <v>48</v>
      </c>
      <c r="M20" s="162" t="s">
        <v>364</v>
      </c>
      <c r="N20" s="162" t="s">
        <v>366</v>
      </c>
      <c r="O20" s="162" t="s">
        <v>367</v>
      </c>
      <c r="P20" s="162" t="s">
        <v>173</v>
      </c>
      <c r="Q20" s="162" t="s">
        <v>173</v>
      </c>
      <c r="R20" s="162" t="s">
        <v>218</v>
      </c>
      <c r="S20" s="238" t="s">
        <v>227</v>
      </c>
      <c r="T20" s="162" t="s">
        <v>364</v>
      </c>
      <c r="U20" s="162" t="s">
        <v>247</v>
      </c>
      <c r="V20" s="162" t="s">
        <v>467</v>
      </c>
      <c r="W20" s="162" t="s">
        <v>45</v>
      </c>
      <c r="X20" s="162" t="s">
        <v>346</v>
      </c>
      <c r="Y20" s="162" t="s">
        <v>565</v>
      </c>
      <c r="Z20" s="162" t="s">
        <v>45</v>
      </c>
      <c r="AA20" s="162" t="s">
        <v>45</v>
      </c>
      <c r="AB20" s="162" t="s">
        <v>45</v>
      </c>
      <c r="AC20" s="162" t="s">
        <v>246</v>
      </c>
      <c r="AD20" s="162" t="s">
        <v>44</v>
      </c>
      <c r="AE20" s="162" t="s">
        <v>246</v>
      </c>
    </row>
    <row r="21" spans="1:32" ht="18" x14ac:dyDescent="0.25">
      <c r="A21" s="318" t="s">
        <v>94</v>
      </c>
      <c r="B21" s="319"/>
      <c r="C21" s="162"/>
      <c r="D21" s="162" t="s">
        <v>44</v>
      </c>
      <c r="E21" s="162" t="s">
        <v>45</v>
      </c>
      <c r="F21" s="162" t="s">
        <v>140</v>
      </c>
      <c r="G21" s="162" t="s">
        <v>247</v>
      </c>
      <c r="H21" s="162" t="s">
        <v>44</v>
      </c>
      <c r="I21" s="162" t="s">
        <v>89</v>
      </c>
      <c r="J21" s="162" t="s">
        <v>140</v>
      </c>
      <c r="K21" s="162" t="s">
        <v>305</v>
      </c>
      <c r="L21" s="162" t="s">
        <v>44</v>
      </c>
      <c r="M21" s="162" t="s">
        <v>364</v>
      </c>
      <c r="N21" s="162" t="s">
        <v>365</v>
      </c>
      <c r="O21" s="162" t="s">
        <v>96</v>
      </c>
      <c r="P21" s="162" t="s">
        <v>173</v>
      </c>
      <c r="Q21" s="162" t="s">
        <v>173</v>
      </c>
      <c r="R21" s="162" t="s">
        <v>218</v>
      </c>
      <c r="S21" s="238" t="s">
        <v>49</v>
      </c>
      <c r="T21" s="162" t="s">
        <v>364</v>
      </c>
      <c r="U21" s="162" t="s">
        <v>305</v>
      </c>
      <c r="V21" s="162" t="s">
        <v>137</v>
      </c>
      <c r="W21" s="162" t="s">
        <v>45</v>
      </c>
      <c r="X21" s="162" t="s">
        <v>46</v>
      </c>
      <c r="Y21" s="162" t="s">
        <v>247</v>
      </c>
      <c r="Z21" s="162" t="s">
        <v>45</v>
      </c>
      <c r="AA21" s="162" t="s">
        <v>45</v>
      </c>
      <c r="AB21" s="162" t="s">
        <v>45</v>
      </c>
      <c r="AC21" s="162" t="s">
        <v>343</v>
      </c>
      <c r="AD21" s="162" t="s">
        <v>246</v>
      </c>
      <c r="AE21" s="162" t="s">
        <v>343</v>
      </c>
    </row>
    <row r="22" spans="1:32" ht="22.5" customHeight="1" x14ac:dyDescent="0.25">
      <c r="A22" s="332" t="s">
        <v>648</v>
      </c>
      <c r="B22" s="333"/>
      <c r="C22" s="333"/>
      <c r="D22" s="333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4"/>
    </row>
    <row r="23" spans="1:32" x14ac:dyDescent="0.25">
      <c r="A23" s="322" t="s">
        <v>131</v>
      </c>
      <c r="B23" s="323"/>
      <c r="C23" s="162"/>
      <c r="D23" s="162" t="s">
        <v>132</v>
      </c>
      <c r="E23" s="162" t="s">
        <v>45</v>
      </c>
      <c r="F23" s="162" t="s">
        <v>133</v>
      </c>
      <c r="G23" s="162" t="s">
        <v>270</v>
      </c>
      <c r="H23" s="162" t="s">
        <v>271</v>
      </c>
      <c r="I23" s="162" t="s">
        <v>45</v>
      </c>
      <c r="J23" s="162" t="s">
        <v>319</v>
      </c>
      <c r="K23" s="162" t="s">
        <v>320</v>
      </c>
      <c r="L23" s="162" t="s">
        <v>320</v>
      </c>
      <c r="M23" s="162" t="s">
        <v>87</v>
      </c>
      <c r="N23" s="162" t="s">
        <v>387</v>
      </c>
      <c r="O23" s="162" t="s">
        <v>133</v>
      </c>
      <c r="P23" s="162" t="s">
        <v>173</v>
      </c>
      <c r="Q23" s="162" t="s">
        <v>173</v>
      </c>
      <c r="R23" s="162" t="s">
        <v>218</v>
      </c>
      <c r="S23" s="238" t="s">
        <v>466</v>
      </c>
      <c r="T23" s="162" t="s">
        <v>87</v>
      </c>
      <c r="U23" s="162" t="s">
        <v>320</v>
      </c>
      <c r="V23" s="162" t="s">
        <v>530</v>
      </c>
      <c r="W23" s="162" t="s">
        <v>45</v>
      </c>
      <c r="X23" s="162" t="s">
        <v>387</v>
      </c>
      <c r="Y23" s="162" t="s">
        <v>584</v>
      </c>
      <c r="Z23" s="162" t="s">
        <v>45</v>
      </c>
      <c r="AA23" s="162" t="s">
        <v>45</v>
      </c>
      <c r="AB23" s="162" t="s">
        <v>45</v>
      </c>
      <c r="AC23" s="162" t="s">
        <v>612</v>
      </c>
      <c r="AD23" s="162" t="s">
        <v>612</v>
      </c>
      <c r="AE23" s="162" t="s">
        <v>612</v>
      </c>
    </row>
    <row r="24" spans="1:32" x14ac:dyDescent="0.25">
      <c r="A24" s="318" t="s">
        <v>135</v>
      </c>
      <c r="B24" s="319"/>
      <c r="C24" s="162"/>
      <c r="D24" s="162" t="s">
        <v>132</v>
      </c>
      <c r="E24" s="162" t="s">
        <v>45</v>
      </c>
      <c r="F24" s="162" t="s">
        <v>133</v>
      </c>
      <c r="G24" s="162" t="s">
        <v>272</v>
      </c>
      <c r="H24" s="162" t="s">
        <v>273</v>
      </c>
      <c r="I24" s="162" t="s">
        <v>45</v>
      </c>
      <c r="J24" s="162" t="s">
        <v>319</v>
      </c>
      <c r="K24" s="162" t="s">
        <v>320</v>
      </c>
      <c r="L24" s="162" t="s">
        <v>320</v>
      </c>
      <c r="M24" s="162" t="s">
        <v>87</v>
      </c>
      <c r="N24" s="162" t="s">
        <v>133</v>
      </c>
      <c r="O24" s="162" t="s">
        <v>133</v>
      </c>
      <c r="P24" s="162" t="s">
        <v>173</v>
      </c>
      <c r="Q24" s="162" t="s">
        <v>173</v>
      </c>
      <c r="R24" s="162" t="s">
        <v>218</v>
      </c>
      <c r="S24" s="238" t="s">
        <v>466</v>
      </c>
      <c r="T24" s="162" t="s">
        <v>87</v>
      </c>
      <c r="U24" s="162" t="s">
        <v>498</v>
      </c>
      <c r="V24" s="162" t="s">
        <v>530</v>
      </c>
      <c r="W24" s="162" t="s">
        <v>45</v>
      </c>
      <c r="X24" s="162" t="s">
        <v>387</v>
      </c>
      <c r="Y24" s="162" t="s">
        <v>584</v>
      </c>
      <c r="Z24" s="162" t="s">
        <v>45</v>
      </c>
      <c r="AA24" s="162" t="s">
        <v>45</v>
      </c>
      <c r="AB24" s="162" t="s">
        <v>45</v>
      </c>
      <c r="AC24" s="162" t="s">
        <v>613</v>
      </c>
      <c r="AD24" s="162" t="s">
        <v>613</v>
      </c>
      <c r="AE24" s="162" t="s">
        <v>612</v>
      </c>
    </row>
    <row r="25" spans="1:32" ht="18" x14ac:dyDescent="0.25">
      <c r="A25" s="318" t="s">
        <v>118</v>
      </c>
      <c r="B25" s="319"/>
      <c r="C25" s="162"/>
      <c r="D25" s="192" t="s">
        <v>119</v>
      </c>
      <c r="E25" s="192" t="s">
        <v>119</v>
      </c>
      <c r="F25" s="192" t="s">
        <v>121</v>
      </c>
      <c r="G25" s="192" t="s">
        <v>266</v>
      </c>
      <c r="H25" s="192" t="s">
        <v>266</v>
      </c>
      <c r="I25" s="192" t="s">
        <v>119</v>
      </c>
      <c r="J25" s="192" t="s">
        <v>119</v>
      </c>
      <c r="K25" s="192" t="s">
        <v>119</v>
      </c>
      <c r="L25" s="192" t="s">
        <v>119</v>
      </c>
      <c r="M25" s="192" t="s">
        <v>379</v>
      </c>
      <c r="N25" s="192" t="s">
        <v>380</v>
      </c>
      <c r="O25" s="192" t="s">
        <v>224</v>
      </c>
      <c r="P25" s="192" t="s">
        <v>381</v>
      </c>
      <c r="Q25" s="192" t="s">
        <v>381</v>
      </c>
      <c r="R25" s="192" t="s">
        <v>462</v>
      </c>
      <c r="S25" s="240" t="s">
        <v>224</v>
      </c>
      <c r="T25" s="193" t="s">
        <v>379</v>
      </c>
      <c r="U25" s="193" t="s">
        <v>496</v>
      </c>
      <c r="V25" s="192" t="s">
        <v>526</v>
      </c>
      <c r="W25" s="192" t="s">
        <v>119</v>
      </c>
      <c r="X25" s="192" t="s">
        <v>121</v>
      </c>
      <c r="Y25" s="193" t="s">
        <v>582</v>
      </c>
      <c r="Z25" s="193" t="s">
        <v>119</v>
      </c>
      <c r="AA25" s="193" t="s">
        <v>119</v>
      </c>
      <c r="AB25" s="193" t="s">
        <v>119</v>
      </c>
      <c r="AC25" s="192" t="s">
        <v>379</v>
      </c>
      <c r="AD25" s="192" t="s">
        <v>379</v>
      </c>
      <c r="AE25" s="192" t="s">
        <v>119</v>
      </c>
    </row>
    <row r="26" spans="1:32" ht="22.5" customHeight="1" x14ac:dyDescent="0.25">
      <c r="A26" s="343" t="s">
        <v>103</v>
      </c>
      <c r="B26" s="344"/>
      <c r="C26" s="162"/>
      <c r="D26" s="162" t="s">
        <v>104</v>
      </c>
      <c r="E26" s="162" t="s">
        <v>104</v>
      </c>
      <c r="F26" s="162" t="s">
        <v>104</v>
      </c>
      <c r="G26" s="162" t="s">
        <v>104</v>
      </c>
      <c r="H26" s="162" t="s">
        <v>104</v>
      </c>
      <c r="I26" s="162" t="s">
        <v>104</v>
      </c>
      <c r="J26" s="162" t="s">
        <v>104</v>
      </c>
      <c r="K26" s="162" t="s">
        <v>104</v>
      </c>
      <c r="L26" s="162" t="s">
        <v>104</v>
      </c>
      <c r="M26" s="162" t="s">
        <v>104</v>
      </c>
      <c r="N26" s="162" t="s">
        <v>104</v>
      </c>
      <c r="O26" s="162" t="s">
        <v>104</v>
      </c>
      <c r="P26" s="162" t="s">
        <v>104</v>
      </c>
      <c r="Q26" s="162" t="s">
        <v>104</v>
      </c>
      <c r="R26" s="162" t="s">
        <v>104</v>
      </c>
      <c r="S26" s="238" t="s">
        <v>104</v>
      </c>
      <c r="T26" s="162" t="s">
        <v>104</v>
      </c>
      <c r="U26" s="162" t="s">
        <v>104</v>
      </c>
      <c r="V26" s="162" t="s">
        <v>104</v>
      </c>
      <c r="W26" s="162" t="s">
        <v>104</v>
      </c>
      <c r="X26" s="162" t="s">
        <v>104</v>
      </c>
      <c r="Y26" s="162" t="s">
        <v>104</v>
      </c>
      <c r="Z26" s="162" t="s">
        <v>104</v>
      </c>
      <c r="AA26" s="162" t="s">
        <v>104</v>
      </c>
      <c r="AB26" s="162" t="s">
        <v>104</v>
      </c>
      <c r="AC26" s="162" t="s">
        <v>104</v>
      </c>
      <c r="AD26" s="162" t="s">
        <v>104</v>
      </c>
      <c r="AE26" s="162" t="s">
        <v>104</v>
      </c>
    </row>
    <row r="27" spans="1:32" s="207" customFormat="1" ht="22.5" customHeight="1" x14ac:dyDescent="0.25">
      <c r="A27" s="324" t="s">
        <v>652</v>
      </c>
      <c r="B27" s="325"/>
      <c r="D27" s="248" t="s">
        <v>87</v>
      </c>
      <c r="E27" s="248" t="s">
        <v>89</v>
      </c>
      <c r="F27" s="248" t="s">
        <v>90</v>
      </c>
      <c r="G27" s="249" t="s">
        <v>87</v>
      </c>
      <c r="H27" s="249" t="s">
        <v>87</v>
      </c>
      <c r="I27" s="249" t="s">
        <v>45</v>
      </c>
      <c r="J27" s="249" t="s">
        <v>139</v>
      </c>
      <c r="K27" s="249" t="s">
        <v>87</v>
      </c>
      <c r="L27" s="249" t="s">
        <v>87</v>
      </c>
      <c r="M27" s="249" t="s">
        <v>345</v>
      </c>
      <c r="N27" s="249" t="s">
        <v>368</v>
      </c>
      <c r="O27" s="249" t="s">
        <v>137</v>
      </c>
      <c r="P27" s="249" t="s">
        <v>173</v>
      </c>
      <c r="Q27" s="248" t="s">
        <v>173</v>
      </c>
      <c r="R27" s="248" t="s">
        <v>173</v>
      </c>
      <c r="S27" s="248" t="s">
        <v>218</v>
      </c>
      <c r="T27" s="249" t="s">
        <v>345</v>
      </c>
      <c r="U27" s="249" t="s">
        <v>87</v>
      </c>
      <c r="V27" s="249" t="s">
        <v>139</v>
      </c>
      <c r="W27" s="249" t="s">
        <v>45</v>
      </c>
      <c r="X27" s="249" t="s">
        <v>139</v>
      </c>
      <c r="Y27" s="249" t="s">
        <v>87</v>
      </c>
      <c r="Z27" s="249" t="s">
        <v>45</v>
      </c>
      <c r="AA27" s="249" t="s">
        <v>45</v>
      </c>
      <c r="AB27" s="249" t="s">
        <v>45</v>
      </c>
      <c r="AC27" s="249" t="s">
        <v>87</v>
      </c>
      <c r="AD27" s="249" t="s">
        <v>87</v>
      </c>
      <c r="AE27" s="249" t="s">
        <v>87</v>
      </c>
      <c r="AF27" s="249"/>
    </row>
    <row r="28" spans="1:32" ht="63" customHeight="1" x14ac:dyDescent="0.25">
      <c r="A28" s="326" t="s">
        <v>653</v>
      </c>
      <c r="B28" s="327"/>
      <c r="C28" s="162"/>
      <c r="D28" s="162" t="s">
        <v>146</v>
      </c>
      <c r="E28" s="162" t="s">
        <v>146</v>
      </c>
      <c r="F28" s="162" t="s">
        <v>121</v>
      </c>
      <c r="G28" s="162" t="s">
        <v>266</v>
      </c>
      <c r="H28" s="162" t="s">
        <v>266</v>
      </c>
      <c r="I28" s="162" t="s">
        <v>146</v>
      </c>
      <c r="J28" s="162" t="s">
        <v>146</v>
      </c>
      <c r="K28" s="162" t="s">
        <v>146</v>
      </c>
      <c r="L28" s="162" t="s">
        <v>146</v>
      </c>
      <c r="M28" s="162" t="s">
        <v>379</v>
      </c>
      <c r="N28" s="162" t="s">
        <v>380</v>
      </c>
      <c r="O28" s="162" t="s">
        <v>224</v>
      </c>
      <c r="P28" s="162" t="s">
        <v>381</v>
      </c>
      <c r="Q28" s="162" t="s">
        <v>471</v>
      </c>
      <c r="R28" s="162" t="s">
        <v>382</v>
      </c>
      <c r="S28" s="238" t="s">
        <v>224</v>
      </c>
      <c r="T28" s="162" t="s">
        <v>379</v>
      </c>
      <c r="U28" s="162" t="s">
        <v>496</v>
      </c>
      <c r="V28" s="162" t="s">
        <v>532</v>
      </c>
      <c r="W28" s="162" t="s">
        <v>146</v>
      </c>
      <c r="X28" s="162" t="s">
        <v>121</v>
      </c>
      <c r="Y28" s="162" t="s">
        <v>587</v>
      </c>
      <c r="Z28" s="162" t="s">
        <v>146</v>
      </c>
      <c r="AA28" s="162" t="s">
        <v>146</v>
      </c>
      <c r="AB28" s="162" t="s">
        <v>146</v>
      </c>
      <c r="AC28" s="162" t="s">
        <v>379</v>
      </c>
      <c r="AD28" s="162" t="s">
        <v>379</v>
      </c>
      <c r="AE28" s="162" t="s">
        <v>146</v>
      </c>
    </row>
    <row r="29" spans="1:32" ht="18" x14ac:dyDescent="0.25">
      <c r="A29" s="318" t="s">
        <v>654</v>
      </c>
      <c r="B29" s="319"/>
      <c r="C29" s="162"/>
      <c r="D29" s="162" t="s">
        <v>148</v>
      </c>
      <c r="E29" s="162" t="s">
        <v>45</v>
      </c>
      <c r="F29" s="162" t="s">
        <v>140</v>
      </c>
      <c r="G29" s="162" t="s">
        <v>274</v>
      </c>
      <c r="H29" s="162" t="s">
        <v>148</v>
      </c>
      <c r="I29" s="162" t="s">
        <v>45</v>
      </c>
      <c r="J29" s="162" t="s">
        <v>321</v>
      </c>
      <c r="K29" s="162" t="s">
        <v>322</v>
      </c>
      <c r="L29" s="162" t="s">
        <v>148</v>
      </c>
      <c r="M29" s="162" t="s">
        <v>343</v>
      </c>
      <c r="N29" s="162" t="s">
        <v>391</v>
      </c>
      <c r="O29" s="162" t="s">
        <v>140</v>
      </c>
      <c r="P29" s="162" t="s">
        <v>173</v>
      </c>
      <c r="Q29" s="162" t="s">
        <v>173</v>
      </c>
      <c r="R29" s="162" t="s">
        <v>218</v>
      </c>
      <c r="S29" s="238" t="s">
        <v>137</v>
      </c>
      <c r="T29" s="162" t="s">
        <v>343</v>
      </c>
      <c r="U29" s="162" t="s">
        <v>322</v>
      </c>
      <c r="V29" s="162" t="s">
        <v>533</v>
      </c>
      <c r="W29" s="162" t="s">
        <v>45</v>
      </c>
      <c r="X29" s="162" t="s">
        <v>140</v>
      </c>
      <c r="Y29" s="162" t="s">
        <v>690</v>
      </c>
      <c r="Z29" s="162" t="s">
        <v>45</v>
      </c>
      <c r="AA29" s="162" t="s">
        <v>45</v>
      </c>
      <c r="AB29" s="162" t="s">
        <v>45</v>
      </c>
      <c r="AC29" s="162" t="s">
        <v>614</v>
      </c>
      <c r="AD29" s="162" t="s">
        <v>274</v>
      </c>
      <c r="AE29" s="162" t="s">
        <v>614</v>
      </c>
    </row>
    <row r="30" spans="1:32" x14ac:dyDescent="0.25">
      <c r="A30" s="318" t="s">
        <v>98</v>
      </c>
      <c r="B30" s="319"/>
      <c r="C30" s="162"/>
      <c r="D30" s="162" t="s">
        <v>44</v>
      </c>
      <c r="E30" s="162" t="s">
        <v>45</v>
      </c>
      <c r="F30" s="162" t="s">
        <v>99</v>
      </c>
      <c r="G30" s="162" t="s">
        <v>246</v>
      </c>
      <c r="H30" s="162" t="s">
        <v>44</v>
      </c>
      <c r="I30" s="162" t="s">
        <v>45</v>
      </c>
      <c r="J30" s="162" t="s">
        <v>99</v>
      </c>
      <c r="K30" s="162" t="s">
        <v>305</v>
      </c>
      <c r="L30" s="162" t="s">
        <v>44</v>
      </c>
      <c r="M30" s="162" t="s">
        <v>369</v>
      </c>
      <c r="N30" s="162" t="s">
        <v>370</v>
      </c>
      <c r="O30" s="162" t="s">
        <v>99</v>
      </c>
      <c r="P30" s="162" t="s">
        <v>173</v>
      </c>
      <c r="Q30" s="162" t="s">
        <v>173</v>
      </c>
      <c r="R30" s="162" t="s">
        <v>218</v>
      </c>
      <c r="S30" s="238" t="s">
        <v>101</v>
      </c>
      <c r="T30" s="162" t="s">
        <v>369</v>
      </c>
      <c r="U30" s="162" t="s">
        <v>305</v>
      </c>
      <c r="V30" s="162" t="s">
        <v>101</v>
      </c>
      <c r="W30" s="162" t="s">
        <v>45</v>
      </c>
      <c r="X30" s="162" t="s">
        <v>99</v>
      </c>
      <c r="Y30" s="162" t="s">
        <v>247</v>
      </c>
      <c r="Z30" s="162" t="s">
        <v>45</v>
      </c>
      <c r="AA30" s="162" t="s">
        <v>45</v>
      </c>
      <c r="AB30" s="162" t="s">
        <v>45</v>
      </c>
      <c r="AC30" s="162" t="s">
        <v>343</v>
      </c>
      <c r="AD30" s="162" t="s">
        <v>246</v>
      </c>
      <c r="AE30" s="162" t="s">
        <v>343</v>
      </c>
    </row>
    <row r="31" spans="1:32" x14ac:dyDescent="0.25">
      <c r="A31" s="318" t="s">
        <v>100</v>
      </c>
      <c r="B31" s="319"/>
      <c r="C31" s="162"/>
      <c r="D31" s="162" t="s">
        <v>48</v>
      </c>
      <c r="E31" s="162" t="s">
        <v>45</v>
      </c>
      <c r="F31" s="162" t="s">
        <v>101</v>
      </c>
      <c r="G31" s="162" t="s">
        <v>247</v>
      </c>
      <c r="H31" s="162" t="s">
        <v>248</v>
      </c>
      <c r="I31" s="162" t="s">
        <v>45</v>
      </c>
      <c r="J31" s="162" t="s">
        <v>137</v>
      </c>
      <c r="K31" s="162" t="s">
        <v>247</v>
      </c>
      <c r="L31" s="162" t="s">
        <v>48</v>
      </c>
      <c r="M31" s="162" t="s">
        <v>369</v>
      </c>
      <c r="N31" s="162" t="s">
        <v>370</v>
      </c>
      <c r="O31" s="162" t="s">
        <v>99</v>
      </c>
      <c r="P31" s="162" t="s">
        <v>173</v>
      </c>
      <c r="Q31" s="162" t="s">
        <v>173</v>
      </c>
      <c r="R31" s="162" t="s">
        <v>218</v>
      </c>
      <c r="S31" s="238" t="s">
        <v>453</v>
      </c>
      <c r="T31" s="162" t="s">
        <v>369</v>
      </c>
      <c r="U31" s="162" t="s">
        <v>247</v>
      </c>
      <c r="V31" s="162" t="s">
        <v>467</v>
      </c>
      <c r="W31" s="162" t="s">
        <v>45</v>
      </c>
      <c r="X31" s="162" t="s">
        <v>522</v>
      </c>
      <c r="Y31" s="162" t="s">
        <v>565</v>
      </c>
      <c r="Z31" s="162" t="s">
        <v>45</v>
      </c>
      <c r="AA31" s="162" t="s">
        <v>45</v>
      </c>
      <c r="AB31" s="162" t="s">
        <v>45</v>
      </c>
      <c r="AC31" s="162" t="s">
        <v>246</v>
      </c>
      <c r="AD31" s="162" t="s">
        <v>44</v>
      </c>
      <c r="AE31" s="162" t="s">
        <v>246</v>
      </c>
    </row>
    <row r="32" spans="1:32" x14ac:dyDescent="0.25">
      <c r="A32" s="318" t="s">
        <v>715</v>
      </c>
      <c r="B32" s="319"/>
      <c r="C32" s="162"/>
      <c r="D32" s="162" t="s">
        <v>70</v>
      </c>
      <c r="E32" s="162" t="s">
        <v>84</v>
      </c>
      <c r="F32" s="162" t="s">
        <v>84</v>
      </c>
      <c r="G32" s="162" t="s">
        <v>70</v>
      </c>
      <c r="H32" s="162" t="s">
        <v>70</v>
      </c>
      <c r="I32" s="162" t="s">
        <v>84</v>
      </c>
      <c r="J32" s="162" t="s">
        <v>84</v>
      </c>
      <c r="K32" s="162" t="s">
        <v>70</v>
      </c>
      <c r="L32" s="162" t="s">
        <v>70</v>
      </c>
      <c r="M32" s="162" t="s">
        <v>70</v>
      </c>
      <c r="N32" s="162" t="s">
        <v>70</v>
      </c>
      <c r="O32" s="162" t="s">
        <v>70</v>
      </c>
      <c r="P32" s="162" t="s">
        <v>84</v>
      </c>
      <c r="Q32" s="162" t="s">
        <v>84</v>
      </c>
      <c r="R32" s="162" t="s">
        <v>84</v>
      </c>
      <c r="S32" s="238" t="s">
        <v>84</v>
      </c>
      <c r="T32" s="162" t="s">
        <v>70</v>
      </c>
      <c r="U32" s="162" t="s">
        <v>70</v>
      </c>
      <c r="V32" s="162" t="s">
        <v>84</v>
      </c>
      <c r="W32" s="162" t="s">
        <v>84</v>
      </c>
      <c r="X32" s="162" t="s">
        <v>84</v>
      </c>
      <c r="Y32" s="162" t="s">
        <v>70</v>
      </c>
      <c r="Z32" s="162" t="s">
        <v>84</v>
      </c>
      <c r="AA32" s="162" t="s">
        <v>84</v>
      </c>
      <c r="AB32" s="162" t="s">
        <v>84</v>
      </c>
      <c r="AC32" s="162" t="s">
        <v>70</v>
      </c>
      <c r="AD32" s="162" t="s">
        <v>70</v>
      </c>
      <c r="AE32" s="162" t="s">
        <v>70</v>
      </c>
    </row>
    <row r="33" spans="1:31" ht="22.5" customHeight="1" x14ac:dyDescent="0.25">
      <c r="A33" s="332" t="s">
        <v>151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4"/>
    </row>
    <row r="34" spans="1:31" x14ac:dyDescent="0.25">
      <c r="A34" s="322" t="s">
        <v>175</v>
      </c>
      <c r="B34" s="323"/>
      <c r="C34" s="162"/>
      <c r="D34" s="162" t="s">
        <v>44</v>
      </c>
      <c r="E34" s="162" t="s">
        <v>45</v>
      </c>
      <c r="F34" s="162" t="s">
        <v>46</v>
      </c>
      <c r="G34" s="162" t="s">
        <v>246</v>
      </c>
      <c r="H34" s="162" t="s">
        <v>44</v>
      </c>
      <c r="I34" s="162" t="s">
        <v>45</v>
      </c>
      <c r="J34" s="162" t="s">
        <v>140</v>
      </c>
      <c r="K34" s="162" t="s">
        <v>305</v>
      </c>
      <c r="L34" s="162" t="s">
        <v>44</v>
      </c>
      <c r="M34" s="162" t="s">
        <v>409</v>
      </c>
      <c r="N34" s="162" t="s">
        <v>410</v>
      </c>
      <c r="O34" s="162" t="s">
        <v>232</v>
      </c>
      <c r="P34" s="162" t="s">
        <v>173</v>
      </c>
      <c r="Q34" s="162" t="s">
        <v>173</v>
      </c>
      <c r="R34" s="162" t="s">
        <v>218</v>
      </c>
      <c r="S34" s="238" t="s">
        <v>49</v>
      </c>
      <c r="T34" s="162" t="s">
        <v>409</v>
      </c>
      <c r="U34" s="162" t="s">
        <v>305</v>
      </c>
      <c r="V34" s="162" t="s">
        <v>137</v>
      </c>
      <c r="W34" s="162" t="s">
        <v>45</v>
      </c>
      <c r="X34" s="162" t="s">
        <v>46</v>
      </c>
      <c r="Y34" s="162" t="s">
        <v>247</v>
      </c>
      <c r="Z34" s="162" t="s">
        <v>45</v>
      </c>
      <c r="AA34" s="162" t="s">
        <v>45</v>
      </c>
      <c r="AB34" s="162" t="s">
        <v>45</v>
      </c>
      <c r="AC34" s="162" t="s">
        <v>343</v>
      </c>
      <c r="AD34" s="162" t="s">
        <v>246</v>
      </c>
      <c r="AE34" s="162" t="s">
        <v>343</v>
      </c>
    </row>
    <row r="35" spans="1:31" ht="27" x14ac:dyDescent="0.25">
      <c r="A35" s="318" t="s">
        <v>167</v>
      </c>
      <c r="B35" s="319"/>
      <c r="C35" s="162"/>
      <c r="D35" s="162" t="s">
        <v>168</v>
      </c>
      <c r="E35" s="162" t="s">
        <v>170</v>
      </c>
      <c r="F35" s="162" t="s">
        <v>171</v>
      </c>
      <c r="G35" s="162" t="s">
        <v>282</v>
      </c>
      <c r="H35" s="162" t="s">
        <v>284</v>
      </c>
      <c r="I35" s="162" t="s">
        <v>283</v>
      </c>
      <c r="J35" s="162" t="s">
        <v>323</v>
      </c>
      <c r="K35" s="162" t="s">
        <v>325</v>
      </c>
      <c r="L35" s="162" t="s">
        <v>326</v>
      </c>
      <c r="M35" s="162" t="s">
        <v>404</v>
      </c>
      <c r="N35" s="162" t="s">
        <v>231</v>
      </c>
      <c r="O35" s="162" t="s">
        <v>231</v>
      </c>
      <c r="P35" s="162" t="s">
        <v>405</v>
      </c>
      <c r="Q35" s="162" t="s">
        <v>405</v>
      </c>
      <c r="R35" s="162" t="s">
        <v>406</v>
      </c>
      <c r="S35" s="238" t="s">
        <v>685</v>
      </c>
      <c r="T35" s="162" t="s">
        <v>404</v>
      </c>
      <c r="U35" s="162" t="s">
        <v>282</v>
      </c>
      <c r="V35" s="162" t="s">
        <v>544</v>
      </c>
      <c r="W35" s="162" t="s">
        <v>170</v>
      </c>
      <c r="X35" s="162" t="s">
        <v>545</v>
      </c>
      <c r="Y35" s="162" t="s">
        <v>592</v>
      </c>
      <c r="Z35" s="162" t="s">
        <v>170</v>
      </c>
      <c r="AA35" s="162" t="s">
        <v>170</v>
      </c>
      <c r="AB35" s="162" t="s">
        <v>170</v>
      </c>
      <c r="AC35" s="162" t="s">
        <v>404</v>
      </c>
      <c r="AD35" s="162" t="s">
        <v>615</v>
      </c>
      <c r="AE35" s="162" t="s">
        <v>616</v>
      </c>
    </row>
    <row r="36" spans="1:31" ht="18" x14ac:dyDescent="0.25">
      <c r="A36" s="318" t="s">
        <v>181</v>
      </c>
      <c r="B36" s="319"/>
      <c r="C36" s="162"/>
      <c r="D36" s="162" t="s">
        <v>182</v>
      </c>
      <c r="E36" s="162" t="s">
        <v>184</v>
      </c>
      <c r="F36" s="162" t="s">
        <v>184</v>
      </c>
      <c r="G36" s="162" t="s">
        <v>182</v>
      </c>
      <c r="H36" s="162" t="s">
        <v>182</v>
      </c>
      <c r="I36" s="162" t="s">
        <v>184</v>
      </c>
      <c r="J36" s="162" t="s">
        <v>184</v>
      </c>
      <c r="K36" s="162" t="s">
        <v>182</v>
      </c>
      <c r="L36" s="162" t="s">
        <v>182</v>
      </c>
      <c r="M36" s="162" t="s">
        <v>112</v>
      </c>
      <c r="N36" s="162" t="s">
        <v>112</v>
      </c>
      <c r="O36" s="162" t="s">
        <v>112</v>
      </c>
      <c r="P36" s="162" t="s">
        <v>112</v>
      </c>
      <c r="Q36" s="162" t="s">
        <v>184</v>
      </c>
      <c r="R36" s="162" t="s">
        <v>184</v>
      </c>
      <c r="S36" s="238" t="s">
        <v>184</v>
      </c>
      <c r="T36" s="162" t="s">
        <v>112</v>
      </c>
      <c r="U36" s="162" t="s">
        <v>182</v>
      </c>
      <c r="V36" s="162" t="s">
        <v>184</v>
      </c>
      <c r="W36" s="162" t="s">
        <v>184</v>
      </c>
      <c r="X36" s="162" t="s">
        <v>184</v>
      </c>
      <c r="Y36" s="162" t="s">
        <v>182</v>
      </c>
      <c r="Z36" s="162" t="s">
        <v>184</v>
      </c>
      <c r="AA36" s="162" t="s">
        <v>184</v>
      </c>
      <c r="AB36" s="162" t="s">
        <v>184</v>
      </c>
      <c r="AC36" s="162" t="s">
        <v>182</v>
      </c>
      <c r="AD36" s="162" t="s">
        <v>182</v>
      </c>
      <c r="AE36" s="162" t="s">
        <v>182</v>
      </c>
    </row>
    <row r="37" spans="1:31" x14ac:dyDescent="0.25">
      <c r="A37" s="318" t="s">
        <v>186</v>
      </c>
      <c r="B37" s="319"/>
      <c r="C37" s="162"/>
      <c r="D37" s="162" t="s">
        <v>503</v>
      </c>
      <c r="E37" s="162" t="s">
        <v>503</v>
      </c>
      <c r="F37" s="162" t="s">
        <v>503</v>
      </c>
      <c r="G37" s="162" t="s">
        <v>503</v>
      </c>
      <c r="H37" s="162" t="s">
        <v>503</v>
      </c>
      <c r="I37" s="162" t="s">
        <v>503</v>
      </c>
      <c r="J37" s="162" t="s">
        <v>503</v>
      </c>
      <c r="K37" s="162" t="s">
        <v>503</v>
      </c>
      <c r="L37" s="162" t="s">
        <v>503</v>
      </c>
      <c r="M37" s="162" t="s">
        <v>112</v>
      </c>
      <c r="N37" s="162" t="s">
        <v>112</v>
      </c>
      <c r="O37" s="162" t="s">
        <v>112</v>
      </c>
      <c r="P37" s="162" t="s">
        <v>112</v>
      </c>
      <c r="Q37" s="162" t="s">
        <v>503</v>
      </c>
      <c r="R37" s="162" t="s">
        <v>503</v>
      </c>
      <c r="S37" s="238" t="s">
        <v>503</v>
      </c>
      <c r="T37" s="162" t="s">
        <v>112</v>
      </c>
      <c r="U37" s="162" t="s">
        <v>503</v>
      </c>
      <c r="V37" s="162" t="s">
        <v>503</v>
      </c>
      <c r="W37" s="162" t="s">
        <v>503</v>
      </c>
      <c r="X37" s="162" t="s">
        <v>503</v>
      </c>
      <c r="Y37" s="162" t="s">
        <v>503</v>
      </c>
      <c r="Z37" s="162" t="s">
        <v>503</v>
      </c>
      <c r="AA37" s="162" t="s">
        <v>503</v>
      </c>
      <c r="AB37" s="162" t="s">
        <v>503</v>
      </c>
      <c r="AC37" s="162" t="s">
        <v>503</v>
      </c>
      <c r="AD37" s="162" t="s">
        <v>503</v>
      </c>
      <c r="AE37" s="162" t="s">
        <v>503</v>
      </c>
    </row>
    <row r="38" spans="1:31" ht="36" x14ac:dyDescent="0.25">
      <c r="A38" s="318" t="s">
        <v>196</v>
      </c>
      <c r="B38" s="319"/>
      <c r="C38" s="162"/>
      <c r="D38" s="162" t="s">
        <v>197</v>
      </c>
      <c r="E38" s="162" t="s">
        <v>200</v>
      </c>
      <c r="F38" s="162" t="s">
        <v>200</v>
      </c>
      <c r="G38" s="162" t="s">
        <v>292</v>
      </c>
      <c r="H38" s="162" t="s">
        <v>292</v>
      </c>
      <c r="I38" s="162" t="s">
        <v>200</v>
      </c>
      <c r="J38" s="162" t="s">
        <v>197</v>
      </c>
      <c r="K38" s="162" t="s">
        <v>197</v>
      </c>
      <c r="L38" s="162" t="s">
        <v>197</v>
      </c>
      <c r="M38" s="162" t="s">
        <v>424</v>
      </c>
      <c r="N38" s="162" t="s">
        <v>426</v>
      </c>
      <c r="O38" s="162" t="s">
        <v>428</v>
      </c>
      <c r="P38" s="162" t="s">
        <v>173</v>
      </c>
      <c r="Q38" s="162" t="s">
        <v>482</v>
      </c>
      <c r="R38" s="162" t="s">
        <v>482</v>
      </c>
      <c r="S38" s="238" t="s">
        <v>482</v>
      </c>
      <c r="T38" s="162" t="s">
        <v>424</v>
      </c>
      <c r="U38" s="162" t="s">
        <v>292</v>
      </c>
      <c r="V38" s="162" t="s">
        <v>197</v>
      </c>
      <c r="W38" s="162" t="s">
        <v>200</v>
      </c>
      <c r="X38" s="162" t="s">
        <v>200</v>
      </c>
      <c r="Y38" s="162" t="s">
        <v>197</v>
      </c>
      <c r="Z38" s="162" t="s">
        <v>691</v>
      </c>
      <c r="AA38" s="162" t="s">
        <v>691</v>
      </c>
      <c r="AB38" s="162" t="s">
        <v>691</v>
      </c>
      <c r="AC38" s="162" t="s">
        <v>292</v>
      </c>
      <c r="AD38" s="162" t="s">
        <v>292</v>
      </c>
      <c r="AE38" s="162" t="s">
        <v>197</v>
      </c>
    </row>
    <row r="39" spans="1:31" ht="18" customHeight="1" x14ac:dyDescent="0.25">
      <c r="A39" s="318" t="s">
        <v>172</v>
      </c>
      <c r="B39" s="319"/>
      <c r="C39" s="162"/>
      <c r="D39" s="162" t="s">
        <v>173</v>
      </c>
      <c r="E39" s="162" t="s">
        <v>173</v>
      </c>
      <c r="F39" s="162" t="s">
        <v>173</v>
      </c>
      <c r="G39" s="162" t="s">
        <v>287</v>
      </c>
      <c r="H39" s="162" t="s">
        <v>287</v>
      </c>
      <c r="I39" s="162" t="s">
        <v>173</v>
      </c>
      <c r="J39" s="162" t="s">
        <v>173</v>
      </c>
      <c r="K39" s="162" t="s">
        <v>173</v>
      </c>
      <c r="L39" s="162" t="s">
        <v>173</v>
      </c>
      <c r="M39" s="162" t="s">
        <v>407</v>
      </c>
      <c r="N39" s="162" t="s">
        <v>408</v>
      </c>
      <c r="O39" s="162" t="s">
        <v>45</v>
      </c>
      <c r="P39" s="162" t="s">
        <v>173</v>
      </c>
      <c r="Q39" s="162" t="s">
        <v>173</v>
      </c>
      <c r="R39" s="162" t="s">
        <v>218</v>
      </c>
      <c r="S39" s="238" t="s">
        <v>173</v>
      </c>
      <c r="T39" s="162" t="s">
        <v>407</v>
      </c>
      <c r="U39" s="162" t="s">
        <v>287</v>
      </c>
      <c r="V39" s="162" t="s">
        <v>173</v>
      </c>
      <c r="W39" s="162" t="s">
        <v>173</v>
      </c>
      <c r="X39" s="162" t="s">
        <v>173</v>
      </c>
      <c r="Y39" s="162" t="s">
        <v>173</v>
      </c>
      <c r="Z39" s="162" t="s">
        <v>173</v>
      </c>
      <c r="AA39" s="162" t="s">
        <v>173</v>
      </c>
      <c r="AB39" s="162" t="s">
        <v>173</v>
      </c>
      <c r="AC39" s="162" t="s">
        <v>287</v>
      </c>
      <c r="AD39" s="162" t="s">
        <v>287</v>
      </c>
      <c r="AE39" s="162" t="s">
        <v>173</v>
      </c>
    </row>
    <row r="40" spans="1:31" ht="23.25" x14ac:dyDescent="0.25">
      <c r="A40" s="329" t="s">
        <v>662</v>
      </c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1"/>
    </row>
    <row r="41" spans="1:31" x14ac:dyDescent="0.25">
      <c r="A41" s="318" t="s">
        <v>663</v>
      </c>
      <c r="B41" s="319"/>
      <c r="C41" s="163"/>
      <c r="D41" s="219" t="s">
        <v>717</v>
      </c>
      <c r="E41" s="219" t="s">
        <v>17</v>
      </c>
      <c r="F41" s="219" t="s">
        <v>17</v>
      </c>
      <c r="G41" s="162" t="s">
        <v>718</v>
      </c>
      <c r="H41" s="162" t="s">
        <v>718</v>
      </c>
      <c r="I41" s="162" t="s">
        <v>17</v>
      </c>
      <c r="J41" s="162" t="s">
        <v>718</v>
      </c>
      <c r="K41" s="162" t="s">
        <v>718</v>
      </c>
      <c r="L41" s="162" t="s">
        <v>718</v>
      </c>
      <c r="M41" s="162" t="s">
        <v>718</v>
      </c>
      <c r="N41" s="162" t="s">
        <v>718</v>
      </c>
      <c r="O41" s="162" t="s">
        <v>718</v>
      </c>
      <c r="P41" s="162" t="s">
        <v>17</v>
      </c>
      <c r="Q41" s="162" t="s">
        <v>17</v>
      </c>
      <c r="R41" s="162" t="s">
        <v>17</v>
      </c>
      <c r="S41" s="238" t="s">
        <v>17</v>
      </c>
      <c r="T41" s="162" t="s">
        <v>718</v>
      </c>
      <c r="U41" s="162" t="s">
        <v>718</v>
      </c>
      <c r="V41" s="162" t="s">
        <v>718</v>
      </c>
      <c r="W41" s="162" t="s">
        <v>17</v>
      </c>
      <c r="X41" s="162" t="s">
        <v>17</v>
      </c>
      <c r="Y41" s="162" t="s">
        <v>718</v>
      </c>
      <c r="Z41" s="162" t="s">
        <v>17</v>
      </c>
      <c r="AA41" s="162" t="s">
        <v>17</v>
      </c>
      <c r="AB41" s="162" t="s">
        <v>17</v>
      </c>
      <c r="AC41" s="162" t="s">
        <v>718</v>
      </c>
      <c r="AD41" s="162" t="s">
        <v>718</v>
      </c>
      <c r="AE41" s="162" t="s">
        <v>718</v>
      </c>
    </row>
    <row r="42" spans="1:31" ht="27.75" thickBot="1" x14ac:dyDescent="0.3">
      <c r="A42" s="320" t="s">
        <v>722</v>
      </c>
      <c r="B42" s="321"/>
      <c r="C42" s="162"/>
      <c r="D42" s="192" t="s">
        <v>111</v>
      </c>
      <c r="E42" s="192" t="s">
        <v>113</v>
      </c>
      <c r="F42" s="192" t="s">
        <v>113</v>
      </c>
      <c r="G42" s="194" t="s">
        <v>262</v>
      </c>
      <c r="H42" s="194" t="s">
        <v>263</v>
      </c>
      <c r="I42" s="203" t="s">
        <v>264</v>
      </c>
      <c r="J42" s="195" t="s">
        <v>315</v>
      </c>
      <c r="K42" s="195" t="s">
        <v>316</v>
      </c>
      <c r="L42" s="195" t="s">
        <v>316</v>
      </c>
      <c r="M42" s="194" t="s">
        <v>375</v>
      </c>
      <c r="N42" s="194" t="s">
        <v>223</v>
      </c>
      <c r="O42" s="194" t="s">
        <v>223</v>
      </c>
      <c r="P42" s="194" t="s">
        <v>376</v>
      </c>
      <c r="Q42" s="196" t="s">
        <v>719</v>
      </c>
      <c r="R42" s="196" t="s">
        <v>720</v>
      </c>
      <c r="S42" s="241" t="s">
        <v>721</v>
      </c>
      <c r="T42" s="194" t="s">
        <v>375</v>
      </c>
      <c r="U42" s="194" t="s">
        <v>315</v>
      </c>
      <c r="V42" s="194" t="s">
        <v>111</v>
      </c>
      <c r="W42" s="194" t="s">
        <v>113</v>
      </c>
      <c r="X42" s="194" t="s">
        <v>113</v>
      </c>
      <c r="Y42" s="197" t="s">
        <v>576</v>
      </c>
      <c r="Z42" s="197" t="s">
        <v>577</v>
      </c>
      <c r="AA42" s="197" t="s">
        <v>577</v>
      </c>
      <c r="AB42" s="197" t="s">
        <v>579</v>
      </c>
      <c r="AC42" s="192" t="s">
        <v>315</v>
      </c>
      <c r="AD42" s="192" t="s">
        <v>315</v>
      </c>
      <c r="AE42" s="192" t="s">
        <v>611</v>
      </c>
    </row>
    <row r="43" spans="1:31" s="184" customFormat="1" ht="18.75" thickBot="1" x14ac:dyDescent="0.2">
      <c r="A43" s="209" t="s">
        <v>667</v>
      </c>
      <c r="B43" s="217" t="s">
        <v>668</v>
      </c>
      <c r="C43" s="181" t="s">
        <v>669</v>
      </c>
      <c r="D43" s="182" t="s">
        <v>670</v>
      </c>
      <c r="E43" s="182" t="s">
        <v>670</v>
      </c>
      <c r="F43" s="182" t="str">
        <f>E43</f>
        <v>2021 First Quarter 
Monthly Premium</v>
      </c>
      <c r="G43" s="182" t="str">
        <f>E43</f>
        <v>2021 First Quarter 
Monthly Premium</v>
      </c>
      <c r="H43" s="183" t="str">
        <f>E43</f>
        <v>2021 First Quarter 
Monthly Premium</v>
      </c>
      <c r="I43" s="202" t="s">
        <v>670</v>
      </c>
      <c r="J43" s="182" t="str">
        <f>I43</f>
        <v>2021 First Quarter 
Monthly Premium</v>
      </c>
      <c r="K43" s="182" t="str">
        <f>I43</f>
        <v>2021 First Quarter 
Monthly Premium</v>
      </c>
      <c r="L43" s="183" t="str">
        <f>I43</f>
        <v>2021 First Quarter 
Monthly Premium</v>
      </c>
      <c r="M43" s="182" t="s">
        <v>670</v>
      </c>
      <c r="N43" s="182" t="str">
        <f>M43</f>
        <v>2021 First Quarter 
Monthly Premium</v>
      </c>
      <c r="O43" s="182" t="str">
        <f>M43</f>
        <v>2021 First Quarter 
Monthly Premium</v>
      </c>
      <c r="P43" s="183" t="str">
        <f>M43</f>
        <v>2021 First Quarter 
Monthly Premium</v>
      </c>
      <c r="Q43" s="182" t="e">
        <f>#REF!</f>
        <v>#REF!</v>
      </c>
      <c r="R43" s="182" t="e">
        <f>#REF!</f>
        <v>#REF!</v>
      </c>
      <c r="S43" s="242" t="e">
        <f>#REF!</f>
        <v>#REF!</v>
      </c>
      <c r="T43" s="182" t="s">
        <v>670</v>
      </c>
      <c r="U43" s="182" t="str">
        <f>T43</f>
        <v>2021 First Quarter 
Monthly Premium</v>
      </c>
      <c r="V43" s="182" t="str">
        <f>T43</f>
        <v>2021 First Quarter 
Monthly Premium</v>
      </c>
      <c r="W43" s="183" t="str">
        <f>T43</f>
        <v>2021 First Quarter 
Monthly Premium</v>
      </c>
      <c r="X43" s="182" t="s">
        <v>670</v>
      </c>
      <c r="Y43" s="182" t="str">
        <f>X43</f>
        <v>2021 First Quarter 
Monthly Premium</v>
      </c>
      <c r="Z43" s="182" t="str">
        <f>X43</f>
        <v>2021 First Quarter 
Monthly Premium</v>
      </c>
      <c r="AA43" s="183" t="str">
        <f>X43</f>
        <v>2021 First Quarter 
Monthly Premium</v>
      </c>
      <c r="AB43" s="182" t="s">
        <v>670</v>
      </c>
      <c r="AC43" s="182" t="str">
        <f>AB43</f>
        <v>2021 First Quarter 
Monthly Premium</v>
      </c>
      <c r="AD43" s="182" t="str">
        <f>AB43</f>
        <v>2021 First Quarter 
Monthly Premium</v>
      </c>
      <c r="AE43" s="183" t="str">
        <f>AB43</f>
        <v>2021 First Quarter 
Monthly Premium</v>
      </c>
    </row>
    <row r="44" spans="1:31" x14ac:dyDescent="0.25">
      <c r="A44" s="166" t="s">
        <v>22</v>
      </c>
      <c r="B44" s="173">
        <v>7</v>
      </c>
      <c r="C44" s="169">
        <v>84</v>
      </c>
      <c r="D44" s="169">
        <v>626.05999999999995</v>
      </c>
      <c r="E44" s="169">
        <v>644.95000000000005</v>
      </c>
      <c r="F44" s="169">
        <v>622.03</v>
      </c>
      <c r="G44" s="169">
        <v>681.83</v>
      </c>
      <c r="H44" s="169">
        <v>695.29</v>
      </c>
      <c r="I44" s="169">
        <v>652.66999999999996</v>
      </c>
      <c r="J44" s="169">
        <v>673.98</v>
      </c>
      <c r="K44" s="169">
        <v>671.85</v>
      </c>
      <c r="L44" s="169">
        <v>654.36</v>
      </c>
      <c r="M44" s="169">
        <v>815.8</v>
      </c>
      <c r="N44" s="169">
        <v>617.86</v>
      </c>
      <c r="O44" s="169">
        <v>706.9</v>
      </c>
      <c r="P44" s="169">
        <v>438.64</v>
      </c>
      <c r="Q44" s="169">
        <v>438.68</v>
      </c>
      <c r="R44" s="169">
        <v>438.93</v>
      </c>
      <c r="S44" s="243">
        <v>439.44</v>
      </c>
      <c r="T44" s="169">
        <v>815.8</v>
      </c>
      <c r="U44" s="169">
        <v>795.26</v>
      </c>
      <c r="V44" s="169">
        <v>555.41999999999996</v>
      </c>
      <c r="W44" s="169">
        <v>557.23</v>
      </c>
      <c r="X44" s="169">
        <v>562.09</v>
      </c>
      <c r="Y44" s="169">
        <v>462.05</v>
      </c>
      <c r="Z44" s="169">
        <v>550.27</v>
      </c>
      <c r="AA44" s="169">
        <v>546.37</v>
      </c>
      <c r="AB44" s="169">
        <v>521.23</v>
      </c>
      <c r="AC44" s="169">
        <v>822.87</v>
      </c>
      <c r="AD44" s="169">
        <v>810.88</v>
      </c>
      <c r="AE44" s="169">
        <v>807.88</v>
      </c>
    </row>
    <row r="45" spans="1:31" ht="18" x14ac:dyDescent="0.25">
      <c r="A45" s="166" t="s">
        <v>23</v>
      </c>
      <c r="B45" s="173">
        <v>3</v>
      </c>
      <c r="C45" s="169">
        <v>126</v>
      </c>
      <c r="D45" s="169">
        <v>1252.1199999999999</v>
      </c>
      <c r="E45" s="169">
        <v>1289.9100000000001</v>
      </c>
      <c r="F45" s="169">
        <v>1244.06</v>
      </c>
      <c r="G45" s="169">
        <v>1363.65</v>
      </c>
      <c r="H45" s="169">
        <v>1390.57</v>
      </c>
      <c r="I45" s="169">
        <v>1305.33</v>
      </c>
      <c r="J45" s="169">
        <v>1347.95</v>
      </c>
      <c r="K45" s="169">
        <v>1343.69</v>
      </c>
      <c r="L45" s="169">
        <v>1308.72</v>
      </c>
      <c r="M45" s="169">
        <v>1631.59</v>
      </c>
      <c r="N45" s="169">
        <v>1235.73</v>
      </c>
      <c r="O45" s="169">
        <v>1413.81</v>
      </c>
      <c r="P45" s="169">
        <v>877.27</v>
      </c>
      <c r="Q45" s="169">
        <v>877.35</v>
      </c>
      <c r="R45" s="169">
        <v>877.87</v>
      </c>
      <c r="S45" s="243">
        <v>878.88</v>
      </c>
      <c r="T45" s="169">
        <v>1631.59</v>
      </c>
      <c r="U45" s="169">
        <v>1590.52</v>
      </c>
      <c r="V45" s="169">
        <v>1110.8399999999999</v>
      </c>
      <c r="W45" s="169">
        <v>1114.47</v>
      </c>
      <c r="X45" s="169">
        <v>1124.18</v>
      </c>
      <c r="Y45" s="169">
        <v>924.1</v>
      </c>
      <c r="Z45" s="169">
        <v>1100.55</v>
      </c>
      <c r="AA45" s="169">
        <v>1092.74</v>
      </c>
      <c r="AB45" s="169">
        <v>1042.46</v>
      </c>
      <c r="AC45" s="169">
        <v>1645.75</v>
      </c>
      <c r="AD45" s="169">
        <v>1621.76</v>
      </c>
      <c r="AE45" s="169">
        <v>1615.76</v>
      </c>
    </row>
    <row r="46" spans="1:31" ht="18" x14ac:dyDescent="0.25">
      <c r="A46" s="167" t="s">
        <v>24</v>
      </c>
      <c r="B46" s="173">
        <v>11</v>
      </c>
      <c r="C46" s="177">
        <v>987</v>
      </c>
      <c r="D46" s="177">
        <v>1064.3</v>
      </c>
      <c r="E46" s="177">
        <v>1096.43</v>
      </c>
      <c r="F46" s="177">
        <v>1057.45</v>
      </c>
      <c r="G46" s="177">
        <v>1159.1099999999999</v>
      </c>
      <c r="H46" s="177">
        <v>1181.99</v>
      </c>
      <c r="I46" s="177">
        <v>1109.53</v>
      </c>
      <c r="J46" s="177">
        <v>1145.76</v>
      </c>
      <c r="K46" s="177">
        <v>1142.1400000000001</v>
      </c>
      <c r="L46" s="177">
        <v>1112.4100000000001</v>
      </c>
      <c r="M46" s="177">
        <v>1386.86</v>
      </c>
      <c r="N46" s="177">
        <v>1050.3699999999999</v>
      </c>
      <c r="O46" s="177">
        <v>1201.74</v>
      </c>
      <c r="P46" s="177">
        <v>745.68</v>
      </c>
      <c r="Q46" s="177">
        <v>745.75</v>
      </c>
      <c r="R46" s="177">
        <v>746.19</v>
      </c>
      <c r="S46" s="244">
        <v>747.05</v>
      </c>
      <c r="T46" s="177">
        <v>1386.86</v>
      </c>
      <c r="U46" s="177">
        <v>1351.94</v>
      </c>
      <c r="V46" s="177">
        <v>944.22</v>
      </c>
      <c r="W46" s="177">
        <v>947.3</v>
      </c>
      <c r="X46" s="177">
        <v>955.56</v>
      </c>
      <c r="Y46" s="177">
        <v>785.49</v>
      </c>
      <c r="Z46" s="177">
        <v>935.46</v>
      </c>
      <c r="AA46" s="177">
        <v>928.82</v>
      </c>
      <c r="AB46" s="177">
        <v>886.09</v>
      </c>
      <c r="AC46" s="177">
        <v>1398.89</v>
      </c>
      <c r="AD46" s="177">
        <v>1378.5</v>
      </c>
      <c r="AE46" s="177">
        <v>1373.4</v>
      </c>
    </row>
    <row r="47" spans="1:31" x14ac:dyDescent="0.25">
      <c r="A47" s="180" t="s">
        <v>25</v>
      </c>
      <c r="B47" s="180">
        <v>3</v>
      </c>
      <c r="C47" s="169">
        <v>359</v>
      </c>
      <c r="D47" s="169">
        <v>1784.28</v>
      </c>
      <c r="E47" s="169">
        <v>1838.12</v>
      </c>
      <c r="F47" s="169">
        <v>1772.78</v>
      </c>
      <c r="G47" s="169">
        <v>1943.21</v>
      </c>
      <c r="H47" s="169">
        <v>1981.57</v>
      </c>
      <c r="I47" s="169">
        <v>1860.1</v>
      </c>
      <c r="J47" s="169">
        <v>1920.84</v>
      </c>
      <c r="K47" s="169">
        <v>1914.76</v>
      </c>
      <c r="L47" s="169">
        <v>1864.92</v>
      </c>
      <c r="M47" s="169">
        <v>2325.02</v>
      </c>
      <c r="N47" s="169">
        <v>1760.92</v>
      </c>
      <c r="O47" s="169">
        <v>2014.67</v>
      </c>
      <c r="P47" s="169">
        <v>1250.1099999999999</v>
      </c>
      <c r="Q47" s="169">
        <v>1250.22</v>
      </c>
      <c r="R47" s="169">
        <v>1250.96</v>
      </c>
      <c r="S47" s="243">
        <v>1252.4000000000001</v>
      </c>
      <c r="T47" s="169">
        <v>2325.02</v>
      </c>
      <c r="U47" s="169">
        <v>2266.4899999999998</v>
      </c>
      <c r="V47" s="169">
        <v>1582.95</v>
      </c>
      <c r="W47" s="169">
        <v>1588.11</v>
      </c>
      <c r="X47" s="169">
        <v>1601.96</v>
      </c>
      <c r="Y47" s="169">
        <v>1316.84</v>
      </c>
      <c r="Z47" s="169">
        <v>1568.29</v>
      </c>
      <c r="AA47" s="169">
        <v>1557.16</v>
      </c>
      <c r="AB47" s="169">
        <v>1485.51</v>
      </c>
      <c r="AC47" s="169">
        <v>2345.19</v>
      </c>
      <c r="AD47" s="169">
        <v>2311.0100000000002</v>
      </c>
      <c r="AE47" s="169">
        <v>2302.4499999999998</v>
      </c>
    </row>
    <row r="48" spans="1:31" ht="11.65" customHeight="1" x14ac:dyDescent="0.25">
      <c r="A48" s="341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</row>
    <row r="49" spans="1:31" ht="22.5" customHeight="1" x14ac:dyDescent="0.25">
      <c r="A49" s="339" t="s">
        <v>674</v>
      </c>
      <c r="B49" s="340"/>
      <c r="C49" s="179">
        <f t="shared" ref="C49:AE49" si="0">($B$44*C44)+($B$45*C45)+($B$46*C46)+($B$47*C47)</f>
        <v>12900</v>
      </c>
      <c r="D49" s="179">
        <f t="shared" si="0"/>
        <v>25198.92</v>
      </c>
      <c r="E49" s="179">
        <f t="shared" si="0"/>
        <v>25959.47</v>
      </c>
      <c r="F49" s="179">
        <f t="shared" si="0"/>
        <v>25036.68</v>
      </c>
      <c r="G49" s="179">
        <f t="shared" si="0"/>
        <v>27443.600000000002</v>
      </c>
      <c r="H49" s="179">
        <f t="shared" si="0"/>
        <v>27985.339999999997</v>
      </c>
      <c r="I49" s="179">
        <f t="shared" si="0"/>
        <v>26269.81</v>
      </c>
      <c r="J49" s="179">
        <f t="shared" si="0"/>
        <v>27127.59</v>
      </c>
      <c r="K49" s="179">
        <f t="shared" si="0"/>
        <v>27041.84</v>
      </c>
      <c r="L49" s="179">
        <f t="shared" si="0"/>
        <v>26337.950000000004</v>
      </c>
      <c r="M49" s="179">
        <f t="shared" si="0"/>
        <v>32835.89</v>
      </c>
      <c r="N49" s="179">
        <f t="shared" si="0"/>
        <v>24869.040000000001</v>
      </c>
      <c r="O49" s="179">
        <f t="shared" si="0"/>
        <v>28452.879999999997</v>
      </c>
      <c r="P49" s="179">
        <f t="shared" si="0"/>
        <v>17655.099999999999</v>
      </c>
      <c r="Q49" s="179">
        <f t="shared" si="0"/>
        <v>17656.72</v>
      </c>
      <c r="R49" s="179">
        <f t="shared" si="0"/>
        <v>17667.09</v>
      </c>
      <c r="S49" s="245">
        <f t="shared" si="0"/>
        <v>17687.469999999998</v>
      </c>
      <c r="T49" s="179">
        <f t="shared" si="0"/>
        <v>32835.89</v>
      </c>
      <c r="U49" s="179">
        <f t="shared" si="0"/>
        <v>32009.190000000002</v>
      </c>
      <c r="V49" s="179">
        <f t="shared" si="0"/>
        <v>22355.729999999996</v>
      </c>
      <c r="W49" s="179">
        <f t="shared" si="0"/>
        <v>22428.65</v>
      </c>
      <c r="X49" s="179">
        <f t="shared" si="0"/>
        <v>22624.210000000003</v>
      </c>
      <c r="Y49" s="179">
        <f t="shared" si="0"/>
        <v>18597.559999999998</v>
      </c>
      <c r="Z49" s="179">
        <f t="shared" si="0"/>
        <v>22148.469999999998</v>
      </c>
      <c r="AA49" s="179">
        <f t="shared" si="0"/>
        <v>21991.31</v>
      </c>
      <c r="AB49" s="179">
        <f t="shared" si="0"/>
        <v>20979.51</v>
      </c>
      <c r="AC49" s="179">
        <f t="shared" si="0"/>
        <v>33120.699999999997</v>
      </c>
      <c r="AD49" s="179">
        <f t="shared" si="0"/>
        <v>32637.97</v>
      </c>
      <c r="AE49" s="179">
        <f t="shared" si="0"/>
        <v>32517.19</v>
      </c>
    </row>
    <row r="50" spans="1:31" ht="22.5" customHeight="1" x14ac:dyDescent="0.25">
      <c r="A50" s="339" t="s">
        <v>675</v>
      </c>
      <c r="B50" s="340"/>
      <c r="C50" s="179">
        <f>C49*12</f>
        <v>154800</v>
      </c>
      <c r="D50" s="179">
        <f t="shared" ref="D50:AD50" si="1">D49*12</f>
        <v>302387.03999999998</v>
      </c>
      <c r="E50" s="179">
        <f t="shared" si="1"/>
        <v>311513.64</v>
      </c>
      <c r="F50" s="179">
        <f t="shared" si="1"/>
        <v>300440.16000000003</v>
      </c>
      <c r="G50" s="179">
        <f t="shared" si="1"/>
        <v>329323.2</v>
      </c>
      <c r="H50" s="179">
        <f t="shared" si="1"/>
        <v>335824.07999999996</v>
      </c>
      <c r="I50" s="179">
        <f t="shared" si="1"/>
        <v>315237.72000000003</v>
      </c>
      <c r="J50" s="179">
        <f t="shared" si="1"/>
        <v>325531.08</v>
      </c>
      <c r="K50" s="179">
        <f t="shared" si="1"/>
        <v>324502.08</v>
      </c>
      <c r="L50" s="179">
        <f t="shared" si="1"/>
        <v>316055.40000000002</v>
      </c>
      <c r="M50" s="179">
        <f t="shared" si="1"/>
        <v>394030.68</v>
      </c>
      <c r="N50" s="179">
        <f t="shared" si="1"/>
        <v>298428.48</v>
      </c>
      <c r="O50" s="179">
        <f t="shared" si="1"/>
        <v>341434.55999999994</v>
      </c>
      <c r="P50" s="179">
        <f t="shared" si="1"/>
        <v>211861.19999999998</v>
      </c>
      <c r="Q50" s="179">
        <f t="shared" si="1"/>
        <v>211880.64</v>
      </c>
      <c r="R50" s="179">
        <f t="shared" si="1"/>
        <v>212005.08000000002</v>
      </c>
      <c r="S50" s="245">
        <f t="shared" si="1"/>
        <v>212249.63999999996</v>
      </c>
      <c r="T50" s="179">
        <f t="shared" si="1"/>
        <v>394030.68</v>
      </c>
      <c r="U50" s="179">
        <f t="shared" si="1"/>
        <v>384110.28</v>
      </c>
      <c r="V50" s="179">
        <f t="shared" si="1"/>
        <v>268268.75999999995</v>
      </c>
      <c r="W50" s="179">
        <f t="shared" si="1"/>
        <v>269143.80000000005</v>
      </c>
      <c r="X50" s="179">
        <f t="shared" si="1"/>
        <v>271490.52</v>
      </c>
      <c r="Y50" s="179">
        <f t="shared" si="1"/>
        <v>223170.71999999997</v>
      </c>
      <c r="Z50" s="179">
        <f t="shared" si="1"/>
        <v>265781.63999999996</v>
      </c>
      <c r="AA50" s="179">
        <f t="shared" si="1"/>
        <v>263895.72000000003</v>
      </c>
      <c r="AB50" s="179">
        <f t="shared" si="1"/>
        <v>251754.12</v>
      </c>
      <c r="AC50" s="179">
        <f t="shared" si="1"/>
        <v>397448.39999999997</v>
      </c>
      <c r="AD50" s="179">
        <f t="shared" si="1"/>
        <v>391655.64</v>
      </c>
      <c r="AE50" s="179">
        <f>AE49*12</f>
        <v>390206.27999999997</v>
      </c>
    </row>
    <row r="51" spans="1:31" ht="8.25" customHeight="1" x14ac:dyDescent="0.25">
      <c r="A51" s="341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</row>
    <row r="52" spans="1:31" ht="20.25" x14ac:dyDescent="0.25">
      <c r="A52" s="328" t="s">
        <v>676</v>
      </c>
      <c r="B52" s="328"/>
      <c r="C52" s="198"/>
      <c r="D52" s="169">
        <f t="shared" ref="D52:AE52" si="2">D49-$C$49</f>
        <v>12298.919999999998</v>
      </c>
      <c r="E52" s="169">
        <f t="shared" si="2"/>
        <v>13059.470000000001</v>
      </c>
      <c r="F52" s="169">
        <f t="shared" si="2"/>
        <v>12136.68</v>
      </c>
      <c r="G52" s="169">
        <f t="shared" si="2"/>
        <v>14543.600000000002</v>
      </c>
      <c r="H52" s="169">
        <f t="shared" si="2"/>
        <v>15085.339999999997</v>
      </c>
      <c r="I52" s="169">
        <f t="shared" si="2"/>
        <v>13369.810000000001</v>
      </c>
      <c r="J52" s="169">
        <f t="shared" si="2"/>
        <v>14227.59</v>
      </c>
      <c r="K52" s="169">
        <f t="shared" si="2"/>
        <v>14141.84</v>
      </c>
      <c r="L52" s="169">
        <f t="shared" si="2"/>
        <v>13437.950000000004</v>
      </c>
      <c r="M52" s="169">
        <f t="shared" si="2"/>
        <v>19935.89</v>
      </c>
      <c r="N52" s="169">
        <f t="shared" si="2"/>
        <v>11969.04</v>
      </c>
      <c r="O52" s="169">
        <f t="shared" si="2"/>
        <v>15552.879999999997</v>
      </c>
      <c r="P52" s="169">
        <f t="shared" si="2"/>
        <v>4755.0999999999985</v>
      </c>
      <c r="Q52" s="169">
        <f t="shared" si="2"/>
        <v>4756.7200000000012</v>
      </c>
      <c r="R52" s="169">
        <f t="shared" si="2"/>
        <v>4767.09</v>
      </c>
      <c r="S52" s="243">
        <f t="shared" si="2"/>
        <v>4787.4699999999975</v>
      </c>
      <c r="T52" s="169">
        <f t="shared" si="2"/>
        <v>19935.89</v>
      </c>
      <c r="U52" s="169">
        <f t="shared" si="2"/>
        <v>19109.190000000002</v>
      </c>
      <c r="V52" s="169">
        <f t="shared" si="2"/>
        <v>9455.7299999999959</v>
      </c>
      <c r="W52" s="169">
        <f t="shared" si="2"/>
        <v>9528.6500000000015</v>
      </c>
      <c r="X52" s="169">
        <f t="shared" si="2"/>
        <v>9724.2100000000028</v>
      </c>
      <c r="Y52" s="169">
        <f t="shared" si="2"/>
        <v>5697.5599999999977</v>
      </c>
      <c r="Z52" s="169">
        <f t="shared" si="2"/>
        <v>9248.4699999999975</v>
      </c>
      <c r="AA52" s="169">
        <f t="shared" si="2"/>
        <v>9091.3100000000013</v>
      </c>
      <c r="AB52" s="169">
        <f t="shared" si="2"/>
        <v>8079.5099999999984</v>
      </c>
      <c r="AC52" s="169">
        <f t="shared" si="2"/>
        <v>20220.699999999997</v>
      </c>
      <c r="AD52" s="169">
        <f t="shared" si="2"/>
        <v>19737.97</v>
      </c>
      <c r="AE52" s="169">
        <f t="shared" si="2"/>
        <v>19617.189999999999</v>
      </c>
    </row>
    <row r="53" spans="1:31" x14ac:dyDescent="0.25">
      <c r="A53" s="328" t="s">
        <v>677</v>
      </c>
      <c r="B53" s="328"/>
      <c r="C53" s="199"/>
      <c r="D53" s="169">
        <f t="shared" ref="D53:AE53" si="3">D50-$C$50</f>
        <v>147587.03999999998</v>
      </c>
      <c r="E53" s="169">
        <f t="shared" si="3"/>
        <v>156713.64000000001</v>
      </c>
      <c r="F53" s="169">
        <f t="shared" si="3"/>
        <v>145640.16000000003</v>
      </c>
      <c r="G53" s="169">
        <f t="shared" si="3"/>
        <v>174523.2</v>
      </c>
      <c r="H53" s="169">
        <f t="shared" si="3"/>
        <v>181024.07999999996</v>
      </c>
      <c r="I53" s="169">
        <f t="shared" si="3"/>
        <v>160437.72000000003</v>
      </c>
      <c r="J53" s="169">
        <f t="shared" si="3"/>
        <v>170731.08000000002</v>
      </c>
      <c r="K53" s="169">
        <f t="shared" si="3"/>
        <v>169702.08000000002</v>
      </c>
      <c r="L53" s="169">
        <f t="shared" si="3"/>
        <v>161255.40000000002</v>
      </c>
      <c r="M53" s="169">
        <f t="shared" si="3"/>
        <v>239230.68</v>
      </c>
      <c r="N53" s="169">
        <f t="shared" si="3"/>
        <v>143628.47999999998</v>
      </c>
      <c r="O53" s="169">
        <f t="shared" si="3"/>
        <v>186634.55999999994</v>
      </c>
      <c r="P53" s="169">
        <f t="shared" si="3"/>
        <v>57061.199999999983</v>
      </c>
      <c r="Q53" s="169">
        <f t="shared" si="3"/>
        <v>57080.640000000014</v>
      </c>
      <c r="R53" s="169">
        <f t="shared" si="3"/>
        <v>57205.080000000016</v>
      </c>
      <c r="S53" s="243">
        <f t="shared" si="3"/>
        <v>57449.639999999956</v>
      </c>
      <c r="T53" s="169">
        <f t="shared" si="3"/>
        <v>239230.68</v>
      </c>
      <c r="U53" s="169">
        <f t="shared" si="3"/>
        <v>229310.28000000003</v>
      </c>
      <c r="V53" s="169">
        <f t="shared" si="3"/>
        <v>113468.75999999995</v>
      </c>
      <c r="W53" s="169">
        <f t="shared" si="3"/>
        <v>114343.80000000005</v>
      </c>
      <c r="X53" s="169">
        <f t="shared" si="3"/>
        <v>116690.52000000002</v>
      </c>
      <c r="Y53" s="169">
        <f t="shared" si="3"/>
        <v>68370.719999999972</v>
      </c>
      <c r="Z53" s="169">
        <f t="shared" si="3"/>
        <v>110981.63999999996</v>
      </c>
      <c r="AA53" s="169">
        <f t="shared" si="3"/>
        <v>109095.72000000003</v>
      </c>
      <c r="AB53" s="169">
        <f t="shared" si="3"/>
        <v>96954.12</v>
      </c>
      <c r="AC53" s="169">
        <f t="shared" si="3"/>
        <v>242648.39999999997</v>
      </c>
      <c r="AD53" s="169">
        <f t="shared" si="3"/>
        <v>236855.64</v>
      </c>
      <c r="AE53" s="169">
        <f t="shared" si="3"/>
        <v>235406.27999999997</v>
      </c>
    </row>
    <row r="54" spans="1:31" ht="20.25" x14ac:dyDescent="0.25">
      <c r="A54" s="328" t="s">
        <v>678</v>
      </c>
      <c r="B54" s="328"/>
      <c r="C54" s="198"/>
      <c r="D54" s="185">
        <f t="shared" ref="D54:AE54" si="4">(D49-$C$49)/$C$49</f>
        <v>0.95340465116279061</v>
      </c>
      <c r="E54" s="185">
        <f t="shared" si="4"/>
        <v>1.0123620155038762</v>
      </c>
      <c r="F54" s="185">
        <f t="shared" si="4"/>
        <v>0.94082790697674423</v>
      </c>
      <c r="G54" s="185">
        <f t="shared" si="4"/>
        <v>1.1274108527131785</v>
      </c>
      <c r="H54" s="185">
        <f t="shared" si="4"/>
        <v>1.1694062015503874</v>
      </c>
      <c r="I54" s="185">
        <f t="shared" si="4"/>
        <v>1.0364193798449612</v>
      </c>
      <c r="J54" s="185">
        <f t="shared" si="4"/>
        <v>1.1029139534883721</v>
      </c>
      <c r="K54" s="185">
        <f t="shared" si="4"/>
        <v>1.0962666666666667</v>
      </c>
      <c r="L54" s="185">
        <f t="shared" si="4"/>
        <v>1.0417015503875973</v>
      </c>
      <c r="M54" s="185">
        <f t="shared" si="4"/>
        <v>1.5454178294573644</v>
      </c>
      <c r="N54" s="185">
        <f t="shared" si="4"/>
        <v>0.92783255813953491</v>
      </c>
      <c r="O54" s="185">
        <f t="shared" si="4"/>
        <v>1.2056496124031006</v>
      </c>
      <c r="P54" s="185">
        <f t="shared" si="4"/>
        <v>0.36861240310077509</v>
      </c>
      <c r="Q54" s="185">
        <f t="shared" si="4"/>
        <v>0.3687379844961241</v>
      </c>
      <c r="R54" s="185">
        <f t="shared" si="4"/>
        <v>0.36954186046511628</v>
      </c>
      <c r="S54" s="246">
        <f t="shared" si="4"/>
        <v>0.37112170542635642</v>
      </c>
      <c r="T54" s="185">
        <f t="shared" si="4"/>
        <v>1.5454178294573644</v>
      </c>
      <c r="U54" s="185">
        <f t="shared" si="4"/>
        <v>1.4813325581395351</v>
      </c>
      <c r="V54" s="185">
        <f t="shared" si="4"/>
        <v>0.733002325581395</v>
      </c>
      <c r="W54" s="185">
        <f t="shared" si="4"/>
        <v>0.73865503875969007</v>
      </c>
      <c r="X54" s="185">
        <f t="shared" si="4"/>
        <v>0.75381472868217081</v>
      </c>
      <c r="Y54" s="185">
        <f t="shared" si="4"/>
        <v>0.44167131782945718</v>
      </c>
      <c r="Z54" s="185">
        <f t="shared" si="4"/>
        <v>0.71693565891472844</v>
      </c>
      <c r="AA54" s="185">
        <f t="shared" si="4"/>
        <v>0.70475271317829469</v>
      </c>
      <c r="AB54" s="185">
        <f t="shared" si="4"/>
        <v>0.62631860465116262</v>
      </c>
      <c r="AC54" s="185">
        <f t="shared" si="4"/>
        <v>1.5674961240310075</v>
      </c>
      <c r="AD54" s="185">
        <f t="shared" si="4"/>
        <v>1.5300751937984498</v>
      </c>
      <c r="AE54" s="185">
        <f t="shared" si="4"/>
        <v>1.520712403100775</v>
      </c>
    </row>
    <row r="55" spans="1:31" ht="20.25" x14ac:dyDescent="0.25">
      <c r="A55" s="210"/>
      <c r="B55" s="210"/>
      <c r="C55" s="200"/>
      <c r="D55" s="201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245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</row>
    <row r="56" spans="1:31" ht="14.65" customHeight="1" x14ac:dyDescent="0.25"/>
  </sheetData>
  <mergeCells count="46">
    <mergeCell ref="A2:AE2"/>
    <mergeCell ref="A49:B49"/>
    <mergeCell ref="A50:B50"/>
    <mergeCell ref="A48:AE48"/>
    <mergeCell ref="A51:AE51"/>
    <mergeCell ref="A3:B3"/>
    <mergeCell ref="A4:B4"/>
    <mergeCell ref="A6:B6"/>
    <mergeCell ref="A7:B7"/>
    <mergeCell ref="A8:B8"/>
    <mergeCell ref="A20:B20"/>
    <mergeCell ref="A21:B21"/>
    <mergeCell ref="A23:B23"/>
    <mergeCell ref="A24:B24"/>
    <mergeCell ref="A25:B25"/>
    <mergeCell ref="A26:B26"/>
    <mergeCell ref="A52:B52"/>
    <mergeCell ref="A53:B53"/>
    <mergeCell ref="A54:B54"/>
    <mergeCell ref="A10:AE10"/>
    <mergeCell ref="A16:AE16"/>
    <mergeCell ref="A22:AE22"/>
    <mergeCell ref="A33:AE33"/>
    <mergeCell ref="A40:AE40"/>
    <mergeCell ref="A11:B11"/>
    <mergeCell ref="A12:B12"/>
    <mergeCell ref="A13:B13"/>
    <mergeCell ref="A14:B14"/>
    <mergeCell ref="A15:B15"/>
    <mergeCell ref="A17:B17"/>
    <mergeCell ref="A18:B18"/>
    <mergeCell ref="A19:B19"/>
    <mergeCell ref="A27:B27"/>
    <mergeCell ref="A28:B28"/>
    <mergeCell ref="A29:B29"/>
    <mergeCell ref="A30:B30"/>
    <mergeCell ref="A32:B32"/>
    <mergeCell ref="A31:B31"/>
    <mergeCell ref="A39:B39"/>
    <mergeCell ref="A41:B41"/>
    <mergeCell ref="A42:B42"/>
    <mergeCell ref="A34:B34"/>
    <mergeCell ref="A35:B35"/>
    <mergeCell ref="A36:B36"/>
    <mergeCell ref="A37:B37"/>
    <mergeCell ref="A38:B38"/>
  </mergeCells>
  <conditionalFormatting sqref="D52:AE54">
    <cfRule type="cellIs" dxfId="18" priority="1" operator="lessThan">
      <formula>0</formula>
    </cfRule>
    <cfRule type="cellIs" dxfId="1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7"/>
  <sheetViews>
    <sheetView workbookViewId="0"/>
  </sheetViews>
  <sheetFormatPr defaultRowHeight="15" x14ac:dyDescent="0.25"/>
  <cols>
    <col min="1" max="1" width="9" style="168"/>
    <col min="2" max="32" width="9" style="163"/>
  </cols>
  <sheetData>
    <row r="1" spans="1:32" s="160" customFormat="1" ht="36" customHeight="1" x14ac:dyDescent="0.25">
      <c r="A1" s="164"/>
      <c r="B1" s="345" t="s">
        <v>620</v>
      </c>
      <c r="C1" s="345"/>
      <c r="D1" s="161" t="s">
        <v>0</v>
      </c>
      <c r="E1" s="161" t="s">
        <v>1</v>
      </c>
      <c r="F1" s="161" t="s">
        <v>2</v>
      </c>
      <c r="G1" s="161" t="s">
        <v>238</v>
      </c>
      <c r="H1" s="161" t="s">
        <v>239</v>
      </c>
      <c r="I1" s="161" t="s">
        <v>240</v>
      </c>
      <c r="J1" s="161" t="s">
        <v>299</v>
      </c>
      <c r="K1" s="161" t="s">
        <v>300</v>
      </c>
      <c r="L1" s="161" t="s">
        <v>301</v>
      </c>
      <c r="M1" s="161" t="s">
        <v>332</v>
      </c>
      <c r="N1" s="161" t="s">
        <v>333</v>
      </c>
      <c r="O1" s="161" t="s">
        <v>334</v>
      </c>
      <c r="P1" s="161" t="s">
        <v>335</v>
      </c>
      <c r="Q1" s="161" t="s">
        <v>335</v>
      </c>
      <c r="R1" s="161" t="s">
        <v>436</v>
      </c>
      <c r="S1" s="161" t="s">
        <v>437</v>
      </c>
      <c r="T1" s="161" t="s">
        <v>438</v>
      </c>
      <c r="U1" s="161" t="s">
        <v>332</v>
      </c>
      <c r="V1" s="161" t="s">
        <v>489</v>
      </c>
      <c r="W1" s="161" t="s">
        <v>506</v>
      </c>
      <c r="X1" s="161" t="s">
        <v>507</v>
      </c>
      <c r="Y1" s="161" t="s">
        <v>508</v>
      </c>
      <c r="Z1" s="161" t="s">
        <v>557</v>
      </c>
      <c r="AA1" s="161" t="s">
        <v>558</v>
      </c>
      <c r="AB1" s="161" t="s">
        <v>559</v>
      </c>
      <c r="AC1" s="161" t="s">
        <v>560</v>
      </c>
      <c r="AD1" s="161" t="s">
        <v>599</v>
      </c>
      <c r="AE1" s="161" t="s">
        <v>600</v>
      </c>
      <c r="AF1" s="161" t="s">
        <v>601</v>
      </c>
    </row>
    <row r="4" spans="1:32" ht="54" customHeight="1" x14ac:dyDescent="0.25">
      <c r="A4" s="174" t="s">
        <v>630</v>
      </c>
      <c r="B4" s="162"/>
      <c r="C4" s="162"/>
      <c r="D4" s="162" t="s">
        <v>55</v>
      </c>
      <c r="E4" s="162" t="s">
        <v>694</v>
      </c>
      <c r="F4" s="162" t="s">
        <v>58</v>
      </c>
      <c r="G4" s="162" t="s">
        <v>66</v>
      </c>
      <c r="H4" s="162" t="s">
        <v>66</v>
      </c>
      <c r="I4" s="162" t="s">
        <v>696</v>
      </c>
      <c r="J4" s="162" t="s">
        <v>306</v>
      </c>
      <c r="K4" s="162" t="s">
        <v>698</v>
      </c>
      <c r="L4" s="162" t="s">
        <v>699</v>
      </c>
      <c r="M4" s="162" t="s">
        <v>66</v>
      </c>
      <c r="N4" s="162" t="s">
        <v>700</v>
      </c>
      <c r="O4" s="162" t="s">
        <v>702</v>
      </c>
      <c r="P4" s="162" t="s">
        <v>704</v>
      </c>
      <c r="Q4" s="162" t="s">
        <v>706</v>
      </c>
      <c r="R4" s="162" t="s">
        <v>708</v>
      </c>
      <c r="S4" s="162" t="s">
        <v>710</v>
      </c>
      <c r="T4" s="162" t="s">
        <v>711</v>
      </c>
      <c r="U4" s="162" t="s">
        <v>66</v>
      </c>
      <c r="V4" s="162" t="s">
        <v>66</v>
      </c>
      <c r="W4" s="162" t="s">
        <v>513</v>
      </c>
      <c r="X4" s="162" t="s">
        <v>687</v>
      </c>
      <c r="Y4" s="162" t="s">
        <v>686</v>
      </c>
      <c r="Z4" s="162" t="s">
        <v>567</v>
      </c>
      <c r="AA4" s="162" t="s">
        <v>568</v>
      </c>
      <c r="AB4" s="162" t="s">
        <v>569</v>
      </c>
      <c r="AC4" s="162" t="s">
        <v>570</v>
      </c>
      <c r="AD4" s="162" t="s">
        <v>66</v>
      </c>
      <c r="AE4" s="162" t="s">
        <v>66</v>
      </c>
      <c r="AF4" s="162" t="s">
        <v>692</v>
      </c>
    </row>
    <row r="5" spans="1:32" ht="22.5" customHeight="1" x14ac:dyDescent="0.25">
      <c r="A5" s="174" t="s">
        <v>631</v>
      </c>
      <c r="B5" s="162"/>
      <c r="C5" s="162"/>
      <c r="D5" s="162" t="s">
        <v>693</v>
      </c>
      <c r="E5" s="162" t="s">
        <v>57</v>
      </c>
      <c r="F5" s="162" t="s">
        <v>695</v>
      </c>
      <c r="G5" s="162"/>
      <c r="H5" s="162"/>
      <c r="I5" s="162" t="s">
        <v>250</v>
      </c>
      <c r="J5" s="162" t="s">
        <v>697</v>
      </c>
      <c r="K5" s="162" t="s">
        <v>307</v>
      </c>
      <c r="L5" s="162" t="s">
        <v>309</v>
      </c>
      <c r="M5" s="162"/>
      <c r="N5" s="162" t="s">
        <v>701</v>
      </c>
      <c r="O5" s="162" t="s">
        <v>703</v>
      </c>
      <c r="P5" s="162" t="s">
        <v>705</v>
      </c>
      <c r="Q5" s="162" t="s">
        <v>707</v>
      </c>
      <c r="R5" s="162" t="s">
        <v>709</v>
      </c>
      <c r="S5" s="162" t="s">
        <v>449</v>
      </c>
      <c r="T5" s="162" t="s">
        <v>712</v>
      </c>
      <c r="U5" s="162"/>
      <c r="V5" s="162"/>
      <c r="W5" s="162" t="s">
        <v>514</v>
      </c>
      <c r="X5" s="162"/>
      <c r="Y5" s="162"/>
      <c r="Z5" s="162"/>
      <c r="AA5" s="162"/>
      <c r="AB5" s="162"/>
      <c r="AC5" s="162"/>
      <c r="AD5" s="162"/>
      <c r="AE5" s="162"/>
      <c r="AF5" s="162"/>
    </row>
    <row r="6" spans="1:32" ht="36" x14ac:dyDescent="0.25">
      <c r="A6" s="166" t="s">
        <v>60</v>
      </c>
      <c r="B6" s="162"/>
      <c r="C6" s="162"/>
      <c r="D6" s="162" t="s">
        <v>61</v>
      </c>
      <c r="E6" s="162" t="s">
        <v>63</v>
      </c>
      <c r="F6" s="162" t="s">
        <v>64</v>
      </c>
      <c r="G6" s="162" t="s">
        <v>251</v>
      </c>
      <c r="H6" s="162" t="s">
        <v>252</v>
      </c>
      <c r="I6" s="162" t="s">
        <v>253</v>
      </c>
      <c r="J6" s="162" t="s">
        <v>310</v>
      </c>
      <c r="K6" s="162" t="s">
        <v>311</v>
      </c>
      <c r="L6" s="162" t="s">
        <v>312</v>
      </c>
      <c r="M6" s="162" t="s">
        <v>680</v>
      </c>
      <c r="N6" s="162" t="s">
        <v>681</v>
      </c>
      <c r="O6" s="162" t="s">
        <v>682</v>
      </c>
      <c r="P6" s="162" t="s">
        <v>683</v>
      </c>
      <c r="Q6" s="162" t="s">
        <v>683</v>
      </c>
      <c r="R6" s="162" t="s">
        <v>684</v>
      </c>
      <c r="S6" s="162" t="s">
        <v>684</v>
      </c>
      <c r="T6" s="162" t="s">
        <v>684</v>
      </c>
      <c r="U6" s="162" t="s">
        <v>492</v>
      </c>
      <c r="V6" s="162" t="s">
        <v>493</v>
      </c>
      <c r="W6" s="162" t="s">
        <v>252</v>
      </c>
      <c r="X6" s="162" t="s">
        <v>517</v>
      </c>
      <c r="Y6" s="162" t="s">
        <v>518</v>
      </c>
      <c r="Z6" s="162" t="s">
        <v>688</v>
      </c>
      <c r="AA6" s="162" t="s">
        <v>689</v>
      </c>
      <c r="AB6" s="162" t="s">
        <v>689</v>
      </c>
      <c r="AC6" s="162" t="s">
        <v>689</v>
      </c>
      <c r="AD6" s="162" t="s">
        <v>607</v>
      </c>
      <c r="AE6" s="162" t="s">
        <v>608</v>
      </c>
      <c r="AF6" s="162" t="s">
        <v>492</v>
      </c>
    </row>
    <row r="7" spans="1:32" ht="27" x14ac:dyDescent="0.25">
      <c r="A7" s="165" t="s">
        <v>40</v>
      </c>
      <c r="B7" s="171" t="s">
        <v>41</v>
      </c>
      <c r="C7" s="171" t="s">
        <v>42</v>
      </c>
      <c r="D7" s="171" t="s">
        <v>41</v>
      </c>
      <c r="E7" s="171" t="s">
        <v>41</v>
      </c>
      <c r="F7" s="171" t="s">
        <v>41</v>
      </c>
      <c r="G7" s="171" t="s">
        <v>41</v>
      </c>
      <c r="H7" s="171" t="s">
        <v>41</v>
      </c>
      <c r="I7" s="171" t="s">
        <v>41</v>
      </c>
      <c r="J7" s="171" t="s">
        <v>41</v>
      </c>
      <c r="K7" s="171" t="s">
        <v>41</v>
      </c>
      <c r="L7" s="171" t="s">
        <v>41</v>
      </c>
      <c r="M7" s="171" t="s">
        <v>41</v>
      </c>
      <c r="N7" s="171" t="s">
        <v>41</v>
      </c>
      <c r="O7" s="171" t="s">
        <v>41</v>
      </c>
      <c r="P7" s="171" t="s">
        <v>41</v>
      </c>
      <c r="Q7" s="171" t="s">
        <v>41</v>
      </c>
      <c r="R7" s="171" t="s">
        <v>41</v>
      </c>
      <c r="S7" s="171" t="s">
        <v>41</v>
      </c>
      <c r="T7" s="171" t="s">
        <v>41</v>
      </c>
      <c r="U7" s="171" t="s">
        <v>41</v>
      </c>
      <c r="V7" s="171" t="s">
        <v>41</v>
      </c>
      <c r="W7" s="171" t="s">
        <v>41</v>
      </c>
      <c r="X7" s="171" t="s">
        <v>41</v>
      </c>
      <c r="Y7" s="171" t="s">
        <v>41</v>
      </c>
      <c r="Z7" s="171" t="s">
        <v>41</v>
      </c>
      <c r="AA7" s="171" t="s">
        <v>41</v>
      </c>
      <c r="AB7" s="171" t="s">
        <v>41</v>
      </c>
      <c r="AC7" s="171" t="s">
        <v>41</v>
      </c>
      <c r="AD7" s="171" t="s">
        <v>41</v>
      </c>
      <c r="AE7" s="171" t="s">
        <v>41</v>
      </c>
      <c r="AF7" s="171" t="s">
        <v>41</v>
      </c>
    </row>
    <row r="8" spans="1:32" ht="36" x14ac:dyDescent="0.25">
      <c r="A8" s="166" t="s">
        <v>43</v>
      </c>
      <c r="B8" s="162"/>
      <c r="C8" s="162"/>
      <c r="D8" s="162" t="s">
        <v>44</v>
      </c>
      <c r="E8" s="162" t="s">
        <v>45</v>
      </c>
      <c r="F8" s="162" t="s">
        <v>46</v>
      </c>
      <c r="G8" s="162" t="s">
        <v>246</v>
      </c>
      <c r="H8" s="162" t="s">
        <v>44</v>
      </c>
      <c r="I8" s="162" t="s">
        <v>45</v>
      </c>
      <c r="J8" s="162" t="s">
        <v>46</v>
      </c>
      <c r="K8" s="162" t="s">
        <v>305</v>
      </c>
      <c r="L8" s="162" t="s">
        <v>44</v>
      </c>
      <c r="M8" s="162" t="s">
        <v>343</v>
      </c>
      <c r="N8" s="162" t="s">
        <v>344</v>
      </c>
      <c r="O8" s="162" t="s">
        <v>46</v>
      </c>
      <c r="P8" s="162" t="s">
        <v>173</v>
      </c>
      <c r="Q8" s="162" t="s">
        <v>173</v>
      </c>
      <c r="R8" s="162" t="s">
        <v>173</v>
      </c>
      <c r="S8" s="162" t="s">
        <v>218</v>
      </c>
      <c r="T8" s="162" t="s">
        <v>49</v>
      </c>
      <c r="U8" s="162" t="s">
        <v>343</v>
      </c>
      <c r="V8" s="162" t="s">
        <v>305</v>
      </c>
      <c r="W8" s="162" t="s">
        <v>49</v>
      </c>
      <c r="X8" s="162" t="s">
        <v>45</v>
      </c>
      <c r="Y8" s="162" t="s">
        <v>46</v>
      </c>
      <c r="Z8" s="162" t="s">
        <v>247</v>
      </c>
      <c r="AA8" s="162" t="s">
        <v>45</v>
      </c>
      <c r="AB8" s="162" t="s">
        <v>45</v>
      </c>
      <c r="AC8" s="162" t="s">
        <v>45</v>
      </c>
      <c r="AD8" s="162" t="s">
        <v>343</v>
      </c>
      <c r="AE8" s="162" t="s">
        <v>246</v>
      </c>
      <c r="AF8" s="162" t="s">
        <v>343</v>
      </c>
    </row>
    <row r="9" spans="1:32" ht="36" x14ac:dyDescent="0.25">
      <c r="A9" s="166" t="s">
        <v>47</v>
      </c>
      <c r="B9" s="162"/>
      <c r="C9" s="162"/>
      <c r="D9" s="162" t="s">
        <v>48</v>
      </c>
      <c r="E9" s="162" t="s">
        <v>45</v>
      </c>
      <c r="F9" s="162" t="s">
        <v>49</v>
      </c>
      <c r="G9" s="162" t="s">
        <v>247</v>
      </c>
      <c r="H9" s="162" t="s">
        <v>248</v>
      </c>
      <c r="I9" s="162" t="s">
        <v>45</v>
      </c>
      <c r="J9" s="162" t="s">
        <v>49</v>
      </c>
      <c r="K9" s="162" t="s">
        <v>247</v>
      </c>
      <c r="L9" s="162" t="s">
        <v>48</v>
      </c>
      <c r="M9" s="162" t="s">
        <v>345</v>
      </c>
      <c r="N9" s="162" t="s">
        <v>346</v>
      </c>
      <c r="O9" s="162" t="s">
        <v>49</v>
      </c>
      <c r="P9" s="162" t="s">
        <v>173</v>
      </c>
      <c r="Q9" s="162" t="s">
        <v>173</v>
      </c>
      <c r="R9" s="162" t="s">
        <v>173</v>
      </c>
      <c r="S9" s="162" t="s">
        <v>218</v>
      </c>
      <c r="T9" s="162" t="s">
        <v>227</v>
      </c>
      <c r="U9" s="162" t="s">
        <v>345</v>
      </c>
      <c r="V9" s="162" t="s">
        <v>247</v>
      </c>
      <c r="W9" s="162" t="s">
        <v>227</v>
      </c>
      <c r="X9" s="162" t="s">
        <v>45</v>
      </c>
      <c r="Y9" s="162" t="s">
        <v>346</v>
      </c>
      <c r="Z9" s="162" t="s">
        <v>565</v>
      </c>
      <c r="AA9" s="162" t="s">
        <v>45</v>
      </c>
      <c r="AB9" s="162" t="s">
        <v>45</v>
      </c>
      <c r="AC9" s="162" t="s">
        <v>45</v>
      </c>
      <c r="AD9" s="162" t="s">
        <v>246</v>
      </c>
      <c r="AE9" s="162" t="s">
        <v>44</v>
      </c>
      <c r="AF9" s="162" t="s">
        <v>246</v>
      </c>
    </row>
    <row r="10" spans="1:32" ht="18" x14ac:dyDescent="0.25">
      <c r="A10" s="166" t="s">
        <v>50</v>
      </c>
      <c r="B10" s="162"/>
      <c r="C10" s="162"/>
      <c r="D10" s="162" t="s">
        <v>51</v>
      </c>
      <c r="E10" s="162" t="s">
        <v>51</v>
      </c>
      <c r="F10" s="162" t="s">
        <v>53</v>
      </c>
      <c r="G10" s="162" t="s">
        <v>66</v>
      </c>
      <c r="H10" s="162" t="s">
        <v>66</v>
      </c>
      <c r="I10" s="162" t="s">
        <v>51</v>
      </c>
      <c r="J10" s="162" t="s">
        <v>51</v>
      </c>
      <c r="K10" s="162" t="s">
        <v>51</v>
      </c>
      <c r="L10" s="162" t="s">
        <v>51</v>
      </c>
      <c r="M10" s="162" t="s">
        <v>66</v>
      </c>
      <c r="N10" s="162" t="s">
        <v>53</v>
      </c>
      <c r="O10" s="162" t="s">
        <v>53</v>
      </c>
      <c r="P10" s="162" t="s">
        <v>287</v>
      </c>
      <c r="Q10" s="162" t="s">
        <v>287</v>
      </c>
      <c r="R10" s="162" t="s">
        <v>287</v>
      </c>
      <c r="S10" s="162" t="s">
        <v>53</v>
      </c>
      <c r="T10" s="162" t="s">
        <v>53</v>
      </c>
      <c r="U10" s="162" t="s">
        <v>66</v>
      </c>
      <c r="V10" s="162" t="s">
        <v>66</v>
      </c>
      <c r="W10" s="162" t="s">
        <v>512</v>
      </c>
      <c r="X10" s="162" t="s">
        <v>51</v>
      </c>
      <c r="Y10" s="162" t="s">
        <v>53</v>
      </c>
      <c r="Z10" s="162" t="s">
        <v>566</v>
      </c>
      <c r="AA10" s="162" t="s">
        <v>51</v>
      </c>
      <c r="AB10" s="162" t="s">
        <v>51</v>
      </c>
      <c r="AC10" s="162" t="s">
        <v>51</v>
      </c>
      <c r="AD10" s="162" t="s">
        <v>66</v>
      </c>
      <c r="AE10" s="162" t="s">
        <v>66</v>
      </c>
      <c r="AF10" s="162" t="s">
        <v>51</v>
      </c>
    </row>
    <row r="11" spans="1:32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 spans="1:32" ht="27" x14ac:dyDescent="0.25">
      <c r="A13" s="166" t="s">
        <v>68</v>
      </c>
      <c r="B13" s="170"/>
      <c r="C13" s="170"/>
      <c r="D13" s="170" t="s">
        <v>41</v>
      </c>
      <c r="E13" s="170" t="s">
        <v>41</v>
      </c>
      <c r="F13" s="170" t="s">
        <v>41</v>
      </c>
      <c r="G13" s="170" t="s">
        <v>41</v>
      </c>
      <c r="H13" s="170" t="s">
        <v>41</v>
      </c>
      <c r="I13" s="170" t="s">
        <v>41</v>
      </c>
      <c r="J13" s="170" t="s">
        <v>41</v>
      </c>
      <c r="K13" s="170" t="s">
        <v>41</v>
      </c>
      <c r="L13" s="170" t="s">
        <v>41</v>
      </c>
      <c r="M13" s="170" t="s">
        <v>41</v>
      </c>
      <c r="N13" s="170" t="s">
        <v>41</v>
      </c>
      <c r="O13" s="170" t="s">
        <v>41</v>
      </c>
      <c r="P13" s="170" t="s">
        <v>41</v>
      </c>
      <c r="Q13" s="170" t="s">
        <v>41</v>
      </c>
      <c r="R13" s="170" t="s">
        <v>41</v>
      </c>
      <c r="S13" s="170" t="s">
        <v>41</v>
      </c>
      <c r="T13" s="170" t="s">
        <v>41</v>
      </c>
      <c r="U13" s="170" t="s">
        <v>41</v>
      </c>
      <c r="V13" s="170" t="s">
        <v>41</v>
      </c>
      <c r="W13" s="170" t="s">
        <v>41</v>
      </c>
      <c r="X13" s="170" t="s">
        <v>41</v>
      </c>
      <c r="Y13" s="170" t="s">
        <v>41</v>
      </c>
      <c r="Z13" s="170" t="s">
        <v>41</v>
      </c>
      <c r="AA13" s="170" t="s">
        <v>41</v>
      </c>
      <c r="AB13" s="170" t="s">
        <v>41</v>
      </c>
      <c r="AC13" s="170" t="s">
        <v>41</v>
      </c>
      <c r="AD13" s="170" t="s">
        <v>41</v>
      </c>
      <c r="AE13" s="170" t="s">
        <v>41</v>
      </c>
      <c r="AF13" s="170" t="s">
        <v>41</v>
      </c>
    </row>
    <row r="14" spans="1:32" ht="18" x14ac:dyDescent="0.25">
      <c r="A14" s="166" t="s">
        <v>69</v>
      </c>
      <c r="B14" s="162"/>
      <c r="C14" s="162"/>
      <c r="D14" s="162" t="s">
        <v>70</v>
      </c>
      <c r="E14" s="162" t="s">
        <v>70</v>
      </c>
      <c r="F14" s="162" t="s">
        <v>70</v>
      </c>
      <c r="G14" s="162" t="s">
        <v>70</v>
      </c>
      <c r="H14" s="162" t="s">
        <v>70</v>
      </c>
      <c r="I14" s="162" t="s">
        <v>70</v>
      </c>
      <c r="J14" s="162" t="s">
        <v>70</v>
      </c>
      <c r="K14" s="162" t="s">
        <v>70</v>
      </c>
      <c r="L14" s="162" t="s">
        <v>70</v>
      </c>
      <c r="M14" s="162" t="s">
        <v>70</v>
      </c>
      <c r="N14" s="162" t="s">
        <v>70</v>
      </c>
      <c r="O14" s="162" t="s">
        <v>70</v>
      </c>
      <c r="P14" s="162" t="s">
        <v>70</v>
      </c>
      <c r="Q14" s="162" t="s">
        <v>70</v>
      </c>
      <c r="R14" s="162" t="s">
        <v>70</v>
      </c>
      <c r="S14" s="162" t="s">
        <v>70</v>
      </c>
      <c r="T14" s="162" t="s">
        <v>70</v>
      </c>
      <c r="U14" s="162" t="s">
        <v>70</v>
      </c>
      <c r="V14" s="162" t="s">
        <v>70</v>
      </c>
      <c r="W14" s="162" t="s">
        <v>70</v>
      </c>
      <c r="X14" s="162" t="s">
        <v>70</v>
      </c>
      <c r="Y14" s="162" t="s">
        <v>70</v>
      </c>
      <c r="Z14" s="162" t="s">
        <v>70</v>
      </c>
      <c r="AA14" s="162" t="s">
        <v>70</v>
      </c>
      <c r="AB14" s="162" t="s">
        <v>70</v>
      </c>
      <c r="AC14" s="162" t="s">
        <v>70</v>
      </c>
      <c r="AD14" s="162" t="s">
        <v>70</v>
      </c>
      <c r="AE14" s="162" t="s">
        <v>70</v>
      </c>
      <c r="AF14" s="162" t="s">
        <v>70</v>
      </c>
    </row>
    <row r="15" spans="1:32" ht="27" x14ac:dyDescent="0.25">
      <c r="A15" s="166" t="s">
        <v>72</v>
      </c>
      <c r="B15" s="162"/>
      <c r="C15" s="162"/>
      <c r="D15" s="162" t="s">
        <v>70</v>
      </c>
      <c r="E15" s="162" t="s">
        <v>70</v>
      </c>
      <c r="F15" s="162" t="s">
        <v>70</v>
      </c>
      <c r="G15" s="162" t="s">
        <v>70</v>
      </c>
      <c r="H15" s="162" t="s">
        <v>70</v>
      </c>
      <c r="I15" s="162" t="s">
        <v>70</v>
      </c>
      <c r="J15" s="162" t="s">
        <v>70</v>
      </c>
      <c r="K15" s="162" t="s">
        <v>70</v>
      </c>
      <c r="L15" s="162" t="s">
        <v>70</v>
      </c>
      <c r="M15" s="162" t="s">
        <v>70</v>
      </c>
      <c r="N15" s="162" t="s">
        <v>70</v>
      </c>
      <c r="O15" s="162" t="s">
        <v>70</v>
      </c>
      <c r="P15" s="162" t="s">
        <v>70</v>
      </c>
      <c r="Q15" s="162" t="s">
        <v>70</v>
      </c>
      <c r="R15" s="162" t="s">
        <v>70</v>
      </c>
      <c r="S15" s="162" t="s">
        <v>70</v>
      </c>
      <c r="T15" s="162" t="s">
        <v>70</v>
      </c>
      <c r="U15" s="162" t="s">
        <v>70</v>
      </c>
      <c r="V15" s="162" t="s">
        <v>70</v>
      </c>
      <c r="W15" s="162" t="s">
        <v>70</v>
      </c>
      <c r="X15" s="162" t="s">
        <v>70</v>
      </c>
      <c r="Y15" s="162" t="s">
        <v>70</v>
      </c>
      <c r="Z15" s="162" t="s">
        <v>70</v>
      </c>
      <c r="AA15" s="162" t="s">
        <v>70</v>
      </c>
      <c r="AB15" s="162" t="s">
        <v>70</v>
      </c>
      <c r="AC15" s="162" t="s">
        <v>70</v>
      </c>
      <c r="AD15" s="162" t="s">
        <v>70</v>
      </c>
      <c r="AE15" s="162" t="s">
        <v>70</v>
      </c>
      <c r="AF15" s="162" t="s">
        <v>70</v>
      </c>
    </row>
    <row r="16" spans="1:32" ht="18" x14ac:dyDescent="0.25">
      <c r="A16" s="166" t="s">
        <v>75</v>
      </c>
      <c r="B16" s="162"/>
      <c r="C16" s="162"/>
      <c r="D16" s="162" t="s">
        <v>70</v>
      </c>
      <c r="E16" s="162" t="s">
        <v>70</v>
      </c>
      <c r="F16" s="162" t="s">
        <v>70</v>
      </c>
      <c r="G16" s="162" t="s">
        <v>70</v>
      </c>
      <c r="H16" s="162" t="s">
        <v>70</v>
      </c>
      <c r="I16" s="162" t="s">
        <v>70</v>
      </c>
      <c r="J16" s="162" t="s">
        <v>70</v>
      </c>
      <c r="K16" s="162" t="s">
        <v>70</v>
      </c>
      <c r="L16" s="162" t="s">
        <v>70</v>
      </c>
      <c r="M16" s="162" t="s">
        <v>70</v>
      </c>
      <c r="N16" s="162" t="s">
        <v>70</v>
      </c>
      <c r="O16" s="162" t="s">
        <v>70</v>
      </c>
      <c r="P16" s="162" t="s">
        <v>70</v>
      </c>
      <c r="Q16" s="162" t="s">
        <v>70</v>
      </c>
      <c r="R16" s="162" t="s">
        <v>70</v>
      </c>
      <c r="S16" s="162" t="s">
        <v>70</v>
      </c>
      <c r="T16" s="162" t="s">
        <v>70</v>
      </c>
      <c r="U16" s="162" t="s">
        <v>70</v>
      </c>
      <c r="V16" s="162" t="s">
        <v>70</v>
      </c>
      <c r="W16" s="162" t="s">
        <v>70</v>
      </c>
      <c r="X16" s="162" t="s">
        <v>70</v>
      </c>
      <c r="Y16" s="162" t="s">
        <v>70</v>
      </c>
      <c r="Z16" s="162" t="s">
        <v>70</v>
      </c>
      <c r="AA16" s="162" t="s">
        <v>70</v>
      </c>
      <c r="AB16" s="162" t="s">
        <v>70</v>
      </c>
      <c r="AC16" s="162" t="s">
        <v>70</v>
      </c>
      <c r="AD16" s="162" t="s">
        <v>70</v>
      </c>
      <c r="AE16" s="162" t="s">
        <v>70</v>
      </c>
      <c r="AF16" s="162" t="s">
        <v>70</v>
      </c>
    </row>
    <row r="17" spans="1:32" ht="27" x14ac:dyDescent="0.25">
      <c r="A17" s="166" t="s">
        <v>76</v>
      </c>
      <c r="B17" s="162"/>
      <c r="C17" s="162"/>
      <c r="D17" s="162" t="s">
        <v>70</v>
      </c>
      <c r="E17" s="162" t="s">
        <v>70</v>
      </c>
      <c r="F17" s="162" t="s">
        <v>70</v>
      </c>
      <c r="G17" s="162" t="s">
        <v>70</v>
      </c>
      <c r="H17" s="162" t="s">
        <v>70</v>
      </c>
      <c r="I17" s="162" t="s">
        <v>70</v>
      </c>
      <c r="J17" s="162" t="s">
        <v>70</v>
      </c>
      <c r="K17" s="162" t="s">
        <v>70</v>
      </c>
      <c r="L17" s="162" t="s">
        <v>70</v>
      </c>
      <c r="M17" s="162" t="s">
        <v>70</v>
      </c>
      <c r="N17" s="162" t="s">
        <v>70</v>
      </c>
      <c r="O17" s="162" t="s">
        <v>70</v>
      </c>
      <c r="P17" s="162" t="s">
        <v>70</v>
      </c>
      <c r="Q17" s="162" t="s">
        <v>70</v>
      </c>
      <c r="R17" s="162" t="s">
        <v>70</v>
      </c>
      <c r="S17" s="162" t="s">
        <v>70</v>
      </c>
      <c r="T17" s="162" t="s">
        <v>70</v>
      </c>
      <c r="U17" s="162" t="s">
        <v>70</v>
      </c>
      <c r="V17" s="162" t="s">
        <v>70</v>
      </c>
      <c r="W17" s="162" t="s">
        <v>70</v>
      </c>
      <c r="X17" s="162" t="s">
        <v>70</v>
      </c>
      <c r="Y17" s="162" t="s">
        <v>70</v>
      </c>
      <c r="Z17" s="162" t="s">
        <v>70</v>
      </c>
      <c r="AA17" s="162" t="s">
        <v>70</v>
      </c>
      <c r="AB17" s="162" t="s">
        <v>70</v>
      </c>
      <c r="AC17" s="162" t="s">
        <v>70</v>
      </c>
      <c r="AD17" s="162" t="s">
        <v>70</v>
      </c>
      <c r="AE17" s="162" t="s">
        <v>70</v>
      </c>
      <c r="AF17" s="162" t="s">
        <v>70</v>
      </c>
    </row>
    <row r="18" spans="1:32" ht="36" x14ac:dyDescent="0.25">
      <c r="A18" s="166" t="s">
        <v>83</v>
      </c>
      <c r="B18" s="162"/>
      <c r="C18" s="162"/>
      <c r="D18" s="162" t="s">
        <v>70</v>
      </c>
      <c r="E18" s="162" t="s">
        <v>84</v>
      </c>
      <c r="F18" s="162" t="s">
        <v>84</v>
      </c>
      <c r="G18" s="162" t="s">
        <v>70</v>
      </c>
      <c r="H18" s="162" t="s">
        <v>70</v>
      </c>
      <c r="I18" s="162" t="s">
        <v>84</v>
      </c>
      <c r="J18" s="162" t="s">
        <v>84</v>
      </c>
      <c r="K18" s="162" t="s">
        <v>70</v>
      </c>
      <c r="L18" s="162" t="s">
        <v>70</v>
      </c>
      <c r="M18" s="162" t="s">
        <v>70</v>
      </c>
      <c r="N18" s="162" t="s">
        <v>70</v>
      </c>
      <c r="O18" s="162" t="s">
        <v>70</v>
      </c>
      <c r="P18" s="162" t="s">
        <v>84</v>
      </c>
      <c r="Q18" s="162" t="s">
        <v>84</v>
      </c>
      <c r="R18" s="162" t="s">
        <v>84</v>
      </c>
      <c r="S18" s="162" t="s">
        <v>84</v>
      </c>
      <c r="T18" s="162" t="s">
        <v>84</v>
      </c>
      <c r="U18" s="162" t="s">
        <v>70</v>
      </c>
      <c r="V18" s="162" t="s">
        <v>70</v>
      </c>
      <c r="W18" s="162" t="s">
        <v>84</v>
      </c>
      <c r="X18" s="162" t="s">
        <v>84</v>
      </c>
      <c r="Y18" s="162" t="s">
        <v>84</v>
      </c>
      <c r="Z18" s="162" t="s">
        <v>70</v>
      </c>
      <c r="AA18" s="162" t="s">
        <v>84</v>
      </c>
      <c r="AB18" s="162" t="s">
        <v>84</v>
      </c>
      <c r="AC18" s="162" t="s">
        <v>84</v>
      </c>
      <c r="AD18" s="162" t="s">
        <v>70</v>
      </c>
      <c r="AE18" s="162" t="s">
        <v>70</v>
      </c>
      <c r="AF18" s="162" t="s">
        <v>70</v>
      </c>
    </row>
    <row r="19" spans="1:32" ht="45" x14ac:dyDescent="0.25">
      <c r="A19" s="166" t="s">
        <v>85</v>
      </c>
      <c r="B19" s="162"/>
      <c r="C19" s="162"/>
      <c r="D19" s="162" t="s">
        <v>48</v>
      </c>
      <c r="E19" s="162" t="s">
        <v>45</v>
      </c>
      <c r="F19" s="162" t="s">
        <v>49</v>
      </c>
      <c r="G19" s="162" t="s">
        <v>247</v>
      </c>
      <c r="H19" s="162" t="s">
        <v>248</v>
      </c>
      <c r="I19" s="162" t="s">
        <v>45</v>
      </c>
      <c r="J19" s="162" t="s">
        <v>137</v>
      </c>
      <c r="K19" s="162" t="s">
        <v>247</v>
      </c>
      <c r="L19" s="162" t="s">
        <v>48</v>
      </c>
      <c r="M19" s="162" t="s">
        <v>364</v>
      </c>
      <c r="N19" s="162" t="s">
        <v>366</v>
      </c>
      <c r="O19" s="162" t="s">
        <v>367</v>
      </c>
      <c r="P19" s="162" t="s">
        <v>173</v>
      </c>
      <c r="Q19" s="162" t="s">
        <v>173</v>
      </c>
      <c r="R19" s="162" t="s">
        <v>173</v>
      </c>
      <c r="S19" s="162" t="s">
        <v>218</v>
      </c>
      <c r="T19" s="162" t="s">
        <v>227</v>
      </c>
      <c r="U19" s="162" t="s">
        <v>364</v>
      </c>
      <c r="V19" s="162" t="s">
        <v>247</v>
      </c>
      <c r="W19" s="162" t="s">
        <v>467</v>
      </c>
      <c r="X19" s="162" t="s">
        <v>45</v>
      </c>
      <c r="Y19" s="162" t="s">
        <v>346</v>
      </c>
      <c r="Z19" s="162" t="s">
        <v>565</v>
      </c>
      <c r="AA19" s="162" t="s">
        <v>45</v>
      </c>
      <c r="AB19" s="162" t="s">
        <v>45</v>
      </c>
      <c r="AC19" s="162" t="s">
        <v>45</v>
      </c>
      <c r="AD19" s="162" t="s">
        <v>246</v>
      </c>
      <c r="AE19" s="162" t="s">
        <v>44</v>
      </c>
      <c r="AF19" s="162" t="s">
        <v>246</v>
      </c>
    </row>
    <row r="20" spans="1:32" ht="54" x14ac:dyDescent="0.25">
      <c r="A20" s="166" t="s">
        <v>94</v>
      </c>
      <c r="B20" s="162"/>
      <c r="C20" s="162"/>
      <c r="D20" s="162" t="s">
        <v>44</v>
      </c>
      <c r="E20" s="162" t="s">
        <v>45</v>
      </c>
      <c r="F20" s="162" t="s">
        <v>140</v>
      </c>
      <c r="G20" s="162" t="s">
        <v>247</v>
      </c>
      <c r="H20" s="162" t="s">
        <v>44</v>
      </c>
      <c r="I20" s="162" t="s">
        <v>89</v>
      </c>
      <c r="J20" s="162" t="s">
        <v>140</v>
      </c>
      <c r="K20" s="162" t="s">
        <v>305</v>
      </c>
      <c r="L20" s="162" t="s">
        <v>44</v>
      </c>
      <c r="M20" s="162" t="s">
        <v>364</v>
      </c>
      <c r="N20" s="162" t="s">
        <v>365</v>
      </c>
      <c r="O20" s="162" t="s">
        <v>96</v>
      </c>
      <c r="P20" s="162" t="s">
        <v>173</v>
      </c>
      <c r="Q20" s="162" t="s">
        <v>173</v>
      </c>
      <c r="R20" s="162" t="s">
        <v>173</v>
      </c>
      <c r="S20" s="162" t="s">
        <v>218</v>
      </c>
      <c r="T20" s="162" t="s">
        <v>49</v>
      </c>
      <c r="U20" s="162" t="s">
        <v>364</v>
      </c>
      <c r="V20" s="162" t="s">
        <v>305</v>
      </c>
      <c r="W20" s="162" t="s">
        <v>137</v>
      </c>
      <c r="X20" s="162" t="s">
        <v>45</v>
      </c>
      <c r="Y20" s="162" t="s">
        <v>46</v>
      </c>
      <c r="Z20" s="162" t="s">
        <v>247</v>
      </c>
      <c r="AA20" s="162" t="s">
        <v>45</v>
      </c>
      <c r="AB20" s="162" t="s">
        <v>45</v>
      </c>
      <c r="AC20" s="162" t="s">
        <v>45</v>
      </c>
      <c r="AD20" s="162" t="s">
        <v>343</v>
      </c>
      <c r="AE20" s="162" t="s">
        <v>246</v>
      </c>
      <c r="AF20" s="162" t="s">
        <v>343</v>
      </c>
    </row>
    <row r="21" spans="1:32" ht="36" x14ac:dyDescent="0.25">
      <c r="A21" s="166" t="s">
        <v>98</v>
      </c>
      <c r="B21" s="162"/>
      <c r="C21" s="162"/>
      <c r="D21" s="162" t="s">
        <v>44</v>
      </c>
      <c r="E21" s="162" t="s">
        <v>45</v>
      </c>
      <c r="F21" s="162" t="s">
        <v>99</v>
      </c>
      <c r="G21" s="162" t="s">
        <v>246</v>
      </c>
      <c r="H21" s="162" t="s">
        <v>44</v>
      </c>
      <c r="I21" s="162" t="s">
        <v>45</v>
      </c>
      <c r="J21" s="162" t="s">
        <v>99</v>
      </c>
      <c r="K21" s="162" t="s">
        <v>305</v>
      </c>
      <c r="L21" s="162" t="s">
        <v>44</v>
      </c>
      <c r="M21" s="162" t="s">
        <v>369</v>
      </c>
      <c r="N21" s="162" t="s">
        <v>370</v>
      </c>
      <c r="O21" s="162" t="s">
        <v>99</v>
      </c>
      <c r="P21" s="162" t="s">
        <v>173</v>
      </c>
      <c r="Q21" s="162" t="s">
        <v>173</v>
      </c>
      <c r="R21" s="162" t="s">
        <v>173</v>
      </c>
      <c r="S21" s="162" t="s">
        <v>218</v>
      </c>
      <c r="T21" s="162" t="s">
        <v>101</v>
      </c>
      <c r="U21" s="162" t="s">
        <v>369</v>
      </c>
      <c r="V21" s="162" t="s">
        <v>305</v>
      </c>
      <c r="W21" s="162" t="s">
        <v>101</v>
      </c>
      <c r="X21" s="162" t="s">
        <v>45</v>
      </c>
      <c r="Y21" s="162" t="s">
        <v>99</v>
      </c>
      <c r="Z21" s="162" t="s">
        <v>247</v>
      </c>
      <c r="AA21" s="162" t="s">
        <v>45</v>
      </c>
      <c r="AB21" s="162" t="s">
        <v>45</v>
      </c>
      <c r="AC21" s="162" t="s">
        <v>45</v>
      </c>
      <c r="AD21" s="162" t="s">
        <v>343</v>
      </c>
      <c r="AE21" s="162" t="s">
        <v>246</v>
      </c>
      <c r="AF21" s="162" t="s">
        <v>343</v>
      </c>
    </row>
    <row r="22" spans="1:32" ht="36" x14ac:dyDescent="0.25">
      <c r="A22" s="166" t="s">
        <v>100</v>
      </c>
      <c r="B22" s="162"/>
      <c r="C22" s="162"/>
      <c r="D22" s="162" t="s">
        <v>48</v>
      </c>
      <c r="E22" s="162" t="s">
        <v>45</v>
      </c>
      <c r="F22" s="162" t="s">
        <v>101</v>
      </c>
      <c r="G22" s="162" t="s">
        <v>247</v>
      </c>
      <c r="H22" s="162" t="s">
        <v>248</v>
      </c>
      <c r="I22" s="162" t="s">
        <v>45</v>
      </c>
      <c r="J22" s="162" t="s">
        <v>137</v>
      </c>
      <c r="K22" s="162" t="s">
        <v>247</v>
      </c>
      <c r="L22" s="162" t="s">
        <v>48</v>
      </c>
      <c r="M22" s="162" t="s">
        <v>369</v>
      </c>
      <c r="N22" s="162" t="s">
        <v>370</v>
      </c>
      <c r="O22" s="162" t="s">
        <v>99</v>
      </c>
      <c r="P22" s="162" t="s">
        <v>173</v>
      </c>
      <c r="Q22" s="162" t="s">
        <v>173</v>
      </c>
      <c r="R22" s="162" t="s">
        <v>173</v>
      </c>
      <c r="S22" s="162" t="s">
        <v>218</v>
      </c>
      <c r="T22" s="162" t="s">
        <v>453</v>
      </c>
      <c r="U22" s="162" t="s">
        <v>369</v>
      </c>
      <c r="V22" s="162" t="s">
        <v>247</v>
      </c>
      <c r="W22" s="162" t="s">
        <v>467</v>
      </c>
      <c r="X22" s="162" t="s">
        <v>45</v>
      </c>
      <c r="Y22" s="162" t="s">
        <v>522</v>
      </c>
      <c r="Z22" s="162" t="s">
        <v>565</v>
      </c>
      <c r="AA22" s="162" t="s">
        <v>45</v>
      </c>
      <c r="AB22" s="162" t="s">
        <v>45</v>
      </c>
      <c r="AC22" s="162" t="s">
        <v>45</v>
      </c>
      <c r="AD22" s="162" t="s">
        <v>246</v>
      </c>
      <c r="AE22" s="162" t="s">
        <v>44</v>
      </c>
      <c r="AF22" s="162" t="s">
        <v>246</v>
      </c>
    </row>
    <row r="23" spans="1:32" ht="63" x14ac:dyDescent="0.25">
      <c r="A23" s="166" t="s">
        <v>103</v>
      </c>
      <c r="B23" s="162"/>
      <c r="C23" s="162"/>
      <c r="D23" s="162" t="s">
        <v>104</v>
      </c>
      <c r="E23" s="162" t="s">
        <v>104</v>
      </c>
      <c r="F23" s="162" t="s">
        <v>104</v>
      </c>
      <c r="G23" s="162" t="s">
        <v>104</v>
      </c>
      <c r="H23" s="162" t="s">
        <v>104</v>
      </c>
      <c r="I23" s="162" t="s">
        <v>104</v>
      </c>
      <c r="J23" s="162" t="s">
        <v>104</v>
      </c>
      <c r="K23" s="162" t="s">
        <v>104</v>
      </c>
      <c r="L23" s="162" t="s">
        <v>104</v>
      </c>
      <c r="M23" s="162" t="s">
        <v>104</v>
      </c>
      <c r="N23" s="162" t="s">
        <v>104</v>
      </c>
      <c r="O23" s="162" t="s">
        <v>104</v>
      </c>
      <c r="P23" s="162" t="s">
        <v>104</v>
      </c>
      <c r="Q23" s="162" t="s">
        <v>104</v>
      </c>
      <c r="R23" s="162" t="s">
        <v>104</v>
      </c>
      <c r="S23" s="162" t="s">
        <v>104</v>
      </c>
      <c r="T23" s="162" t="s">
        <v>104</v>
      </c>
      <c r="U23" s="162" t="s">
        <v>104</v>
      </c>
      <c r="V23" s="162" t="s">
        <v>104</v>
      </c>
      <c r="W23" s="162" t="s">
        <v>104</v>
      </c>
      <c r="X23" s="162" t="s">
        <v>104</v>
      </c>
      <c r="Y23" s="162" t="s">
        <v>104</v>
      </c>
      <c r="Z23" s="162" t="s">
        <v>104</v>
      </c>
      <c r="AA23" s="162" t="s">
        <v>104</v>
      </c>
      <c r="AB23" s="162" t="s">
        <v>104</v>
      </c>
      <c r="AC23" s="162" t="s">
        <v>104</v>
      </c>
      <c r="AD23" s="162" t="s">
        <v>104</v>
      </c>
      <c r="AE23" s="162" t="s">
        <v>104</v>
      </c>
      <c r="AF23" s="162" t="s">
        <v>104</v>
      </c>
    </row>
    <row r="24" spans="1:32" ht="117" x14ac:dyDescent="0.25">
      <c r="A24" s="166" t="s">
        <v>118</v>
      </c>
      <c r="B24" s="162"/>
      <c r="C24" s="162"/>
      <c r="D24" s="190" t="s">
        <v>119</v>
      </c>
      <c r="E24" s="190" t="s">
        <v>119</v>
      </c>
      <c r="F24" s="190" t="s">
        <v>121</v>
      </c>
      <c r="G24" s="190" t="s">
        <v>262</v>
      </c>
      <c r="H24" s="190" t="s">
        <v>263</v>
      </c>
      <c r="I24" s="190" t="s">
        <v>264</v>
      </c>
      <c r="J24" s="190" t="s">
        <v>315</v>
      </c>
      <c r="K24" s="190" t="s">
        <v>316</v>
      </c>
      <c r="L24" s="190" t="s">
        <v>316</v>
      </c>
      <c r="M24" s="190" t="s">
        <v>375</v>
      </c>
      <c r="N24" s="190" t="s">
        <v>223</v>
      </c>
      <c r="O24" s="190" t="s">
        <v>223</v>
      </c>
      <c r="P24" s="190" t="s">
        <v>376</v>
      </c>
      <c r="Q24" s="190" t="s">
        <v>454</v>
      </c>
      <c r="R24" s="190" t="s">
        <v>455</v>
      </c>
      <c r="S24" s="190" t="s">
        <v>363</v>
      </c>
      <c r="T24" s="190" t="s">
        <v>456</v>
      </c>
      <c r="U24" s="190" t="s">
        <v>375</v>
      </c>
      <c r="V24" s="190" t="s">
        <v>315</v>
      </c>
      <c r="W24" s="190" t="s">
        <v>111</v>
      </c>
      <c r="X24" s="190" t="s">
        <v>113</v>
      </c>
      <c r="Y24" s="190" t="s">
        <v>113</v>
      </c>
      <c r="Z24" s="190" t="s">
        <v>576</v>
      </c>
      <c r="AA24" s="190" t="s">
        <v>577</v>
      </c>
      <c r="AB24" s="190" t="s">
        <v>577</v>
      </c>
      <c r="AC24" s="190" t="s">
        <v>579</v>
      </c>
      <c r="AD24" s="190" t="s">
        <v>315</v>
      </c>
      <c r="AE24" s="190" t="s">
        <v>315</v>
      </c>
      <c r="AF24" s="190" t="s">
        <v>611</v>
      </c>
    </row>
    <row r="25" spans="1:32" ht="36" x14ac:dyDescent="0.25">
      <c r="A25" s="166" t="s">
        <v>131</v>
      </c>
      <c r="B25" s="162"/>
      <c r="C25" s="162"/>
      <c r="D25" s="162" t="s">
        <v>132</v>
      </c>
      <c r="E25" s="162" t="s">
        <v>45</v>
      </c>
      <c r="F25" s="162" t="s">
        <v>133</v>
      </c>
      <c r="G25" s="162" t="s">
        <v>270</v>
      </c>
      <c r="H25" s="162" t="s">
        <v>271</v>
      </c>
      <c r="I25" s="162" t="s">
        <v>45</v>
      </c>
      <c r="J25" s="162" t="s">
        <v>319</v>
      </c>
      <c r="K25" s="162" t="s">
        <v>320</v>
      </c>
      <c r="L25" s="162" t="s">
        <v>320</v>
      </c>
      <c r="M25" s="162" t="s">
        <v>87</v>
      </c>
      <c r="N25" s="162" t="s">
        <v>387</v>
      </c>
      <c r="O25" s="162" t="s">
        <v>133</v>
      </c>
      <c r="P25" s="162" t="s">
        <v>173</v>
      </c>
      <c r="Q25" s="162" t="s">
        <v>173</v>
      </c>
      <c r="R25" s="162" t="s">
        <v>173</v>
      </c>
      <c r="S25" s="162" t="s">
        <v>218</v>
      </c>
      <c r="T25" s="162" t="s">
        <v>466</v>
      </c>
      <c r="U25" s="162" t="s">
        <v>87</v>
      </c>
      <c r="V25" s="162" t="s">
        <v>320</v>
      </c>
      <c r="W25" s="162" t="s">
        <v>530</v>
      </c>
      <c r="X25" s="162" t="s">
        <v>45</v>
      </c>
      <c r="Y25" s="162" t="s">
        <v>387</v>
      </c>
      <c r="Z25" s="162" t="s">
        <v>584</v>
      </c>
      <c r="AA25" s="162" t="s">
        <v>45</v>
      </c>
      <c r="AB25" s="162" t="s">
        <v>45</v>
      </c>
      <c r="AC25" s="162" t="s">
        <v>45</v>
      </c>
      <c r="AD25" s="162" t="s">
        <v>612</v>
      </c>
      <c r="AE25" s="162" t="s">
        <v>612</v>
      </c>
      <c r="AF25" s="162" t="s">
        <v>612</v>
      </c>
    </row>
    <row r="26" spans="1:32" ht="36" x14ac:dyDescent="0.25">
      <c r="A26" s="166" t="s">
        <v>134</v>
      </c>
      <c r="B26" s="162"/>
      <c r="C26" s="162"/>
      <c r="D26" s="162" t="s">
        <v>48</v>
      </c>
      <c r="E26" s="162" t="s">
        <v>45</v>
      </c>
      <c r="F26" s="162" t="s">
        <v>49</v>
      </c>
      <c r="G26" s="162" t="s">
        <v>247</v>
      </c>
      <c r="H26" s="162" t="s">
        <v>248</v>
      </c>
      <c r="I26" s="162" t="s">
        <v>45</v>
      </c>
      <c r="J26" s="162" t="s">
        <v>49</v>
      </c>
      <c r="K26" s="162" t="s">
        <v>247</v>
      </c>
      <c r="L26" s="162" t="s">
        <v>48</v>
      </c>
      <c r="M26" s="162" t="s">
        <v>388</v>
      </c>
      <c r="N26" s="162" t="s">
        <v>389</v>
      </c>
      <c r="O26" s="162" t="s">
        <v>227</v>
      </c>
      <c r="P26" s="162" t="s">
        <v>173</v>
      </c>
      <c r="Q26" s="162" t="s">
        <v>173</v>
      </c>
      <c r="R26" s="162" t="s">
        <v>173</v>
      </c>
      <c r="S26" s="162" t="s">
        <v>218</v>
      </c>
      <c r="T26" s="162" t="s">
        <v>227</v>
      </c>
      <c r="U26" s="162" t="s">
        <v>388</v>
      </c>
      <c r="V26" s="162" t="s">
        <v>247</v>
      </c>
      <c r="W26" s="162" t="s">
        <v>227</v>
      </c>
      <c r="X26" s="162" t="s">
        <v>45</v>
      </c>
      <c r="Y26" s="162" t="s">
        <v>346</v>
      </c>
      <c r="Z26" s="162" t="s">
        <v>565</v>
      </c>
      <c r="AA26" s="162" t="s">
        <v>45</v>
      </c>
      <c r="AB26" s="162" t="s">
        <v>45</v>
      </c>
      <c r="AC26" s="162" t="s">
        <v>45</v>
      </c>
      <c r="AD26" s="162" t="s">
        <v>246</v>
      </c>
      <c r="AE26" s="162" t="s">
        <v>44</v>
      </c>
      <c r="AF26" s="162" t="s">
        <v>246</v>
      </c>
    </row>
    <row r="27" spans="1:32" ht="36" x14ac:dyDescent="0.25">
      <c r="A27" s="166" t="s">
        <v>135</v>
      </c>
      <c r="B27" s="162"/>
      <c r="C27" s="162"/>
      <c r="D27" s="162" t="s">
        <v>132</v>
      </c>
      <c r="E27" s="162" t="s">
        <v>45</v>
      </c>
      <c r="F27" s="162" t="s">
        <v>133</v>
      </c>
      <c r="G27" s="162" t="s">
        <v>272</v>
      </c>
      <c r="H27" s="162" t="s">
        <v>273</v>
      </c>
      <c r="I27" s="162" t="s">
        <v>45</v>
      </c>
      <c r="J27" s="162" t="s">
        <v>319</v>
      </c>
      <c r="K27" s="162" t="s">
        <v>320</v>
      </c>
      <c r="L27" s="162" t="s">
        <v>320</v>
      </c>
      <c r="M27" s="162" t="s">
        <v>87</v>
      </c>
      <c r="N27" s="162" t="s">
        <v>133</v>
      </c>
      <c r="O27" s="162" t="s">
        <v>133</v>
      </c>
      <c r="P27" s="162" t="s">
        <v>173</v>
      </c>
      <c r="Q27" s="162" t="s">
        <v>173</v>
      </c>
      <c r="R27" s="162" t="s">
        <v>173</v>
      </c>
      <c r="S27" s="162" t="s">
        <v>218</v>
      </c>
      <c r="T27" s="162" t="s">
        <v>466</v>
      </c>
      <c r="U27" s="162" t="s">
        <v>87</v>
      </c>
      <c r="V27" s="162" t="s">
        <v>498</v>
      </c>
      <c r="W27" s="162" t="s">
        <v>530</v>
      </c>
      <c r="X27" s="162" t="s">
        <v>45</v>
      </c>
      <c r="Y27" s="162" t="s">
        <v>387</v>
      </c>
      <c r="Z27" s="162" t="s">
        <v>584</v>
      </c>
      <c r="AA27" s="162" t="s">
        <v>45</v>
      </c>
      <c r="AB27" s="162" t="s">
        <v>45</v>
      </c>
      <c r="AC27" s="162" t="s">
        <v>45</v>
      </c>
      <c r="AD27" s="162" t="s">
        <v>613</v>
      </c>
      <c r="AE27" s="162" t="s">
        <v>613</v>
      </c>
      <c r="AF27" s="162" t="s">
        <v>612</v>
      </c>
    </row>
    <row r="28" spans="1:32" ht="36" x14ac:dyDescent="0.25">
      <c r="A28" s="166" t="s">
        <v>94</v>
      </c>
      <c r="B28" s="162"/>
      <c r="C28" s="162"/>
      <c r="D28" s="162" t="s">
        <v>44</v>
      </c>
      <c r="E28" s="162" t="s">
        <v>45</v>
      </c>
      <c r="F28" s="162" t="s">
        <v>140</v>
      </c>
      <c r="G28" s="162" t="s">
        <v>247</v>
      </c>
      <c r="H28" s="162" t="s">
        <v>44</v>
      </c>
      <c r="I28" s="162" t="s">
        <v>45</v>
      </c>
      <c r="J28" s="162" t="s">
        <v>140</v>
      </c>
      <c r="K28" s="162" t="s">
        <v>305</v>
      </c>
      <c r="L28" s="162" t="s">
        <v>44</v>
      </c>
      <c r="M28" s="162" t="s">
        <v>345</v>
      </c>
      <c r="N28" s="162" t="s">
        <v>390</v>
      </c>
      <c r="O28" s="162" t="s">
        <v>137</v>
      </c>
      <c r="P28" s="162" t="s">
        <v>173</v>
      </c>
      <c r="Q28" s="162" t="s">
        <v>173</v>
      </c>
      <c r="R28" s="162" t="s">
        <v>173</v>
      </c>
      <c r="S28" s="162" t="s">
        <v>218</v>
      </c>
      <c r="T28" s="162" t="s">
        <v>137</v>
      </c>
      <c r="U28" s="162" t="s">
        <v>345</v>
      </c>
      <c r="V28" s="162" t="s">
        <v>305</v>
      </c>
      <c r="W28" s="162" t="s">
        <v>137</v>
      </c>
      <c r="X28" s="162" t="s">
        <v>45</v>
      </c>
      <c r="Y28" s="162" t="s">
        <v>140</v>
      </c>
      <c r="Z28" s="162" t="s">
        <v>247</v>
      </c>
      <c r="AA28" s="162" t="s">
        <v>45</v>
      </c>
      <c r="AB28" s="162" t="s">
        <v>45</v>
      </c>
      <c r="AC28" s="162" t="s">
        <v>45</v>
      </c>
      <c r="AD28" s="162" t="s">
        <v>343</v>
      </c>
      <c r="AE28" s="162" t="s">
        <v>246</v>
      </c>
      <c r="AF28" s="162" t="s">
        <v>343</v>
      </c>
    </row>
    <row r="29" spans="1:32" ht="36" x14ac:dyDescent="0.25">
      <c r="A29" s="166" t="s">
        <v>141</v>
      </c>
      <c r="B29" s="162"/>
      <c r="C29" s="162"/>
      <c r="D29" s="162" t="s">
        <v>45</v>
      </c>
      <c r="E29" s="162" t="s">
        <v>45</v>
      </c>
      <c r="F29" s="162" t="s">
        <v>142</v>
      </c>
      <c r="G29" s="162" t="s">
        <v>270</v>
      </c>
      <c r="H29" s="162" t="s">
        <v>271</v>
      </c>
      <c r="I29" s="162" t="s">
        <v>45</v>
      </c>
      <c r="J29" s="162" t="s">
        <v>45</v>
      </c>
      <c r="K29" s="162" t="s">
        <v>45</v>
      </c>
      <c r="L29" s="162" t="s">
        <v>45</v>
      </c>
      <c r="M29" s="162" t="s">
        <v>87</v>
      </c>
      <c r="N29" s="162" t="s">
        <v>142</v>
      </c>
      <c r="O29" s="162" t="s">
        <v>228</v>
      </c>
      <c r="P29" s="162" t="s">
        <v>173</v>
      </c>
      <c r="Q29" s="162" t="s">
        <v>173</v>
      </c>
      <c r="R29" s="162" t="s">
        <v>173</v>
      </c>
      <c r="S29" s="162" t="s">
        <v>218</v>
      </c>
      <c r="T29" s="162" t="s">
        <v>470</v>
      </c>
      <c r="U29" s="162" t="s">
        <v>87</v>
      </c>
      <c r="V29" s="162" t="s">
        <v>320</v>
      </c>
      <c r="W29" s="162" t="s">
        <v>523</v>
      </c>
      <c r="X29" s="162" t="s">
        <v>45</v>
      </c>
      <c r="Y29" s="162" t="s">
        <v>531</v>
      </c>
      <c r="Z29" s="162" t="s">
        <v>612</v>
      </c>
      <c r="AA29" s="162" t="s">
        <v>612</v>
      </c>
      <c r="AB29" s="162" t="s">
        <v>45</v>
      </c>
      <c r="AC29" s="162"/>
      <c r="AD29" s="162" t="s">
        <v>612</v>
      </c>
      <c r="AE29" s="162" t="s">
        <v>612</v>
      </c>
      <c r="AF29" s="162" t="s">
        <v>45</v>
      </c>
    </row>
    <row r="30" spans="1:32" ht="36" x14ac:dyDescent="0.25">
      <c r="A30" s="166" t="s">
        <v>98</v>
      </c>
      <c r="B30" s="162"/>
      <c r="C30" s="162"/>
      <c r="D30" s="162" t="s">
        <v>44</v>
      </c>
      <c r="E30" s="162" t="s">
        <v>45</v>
      </c>
      <c r="F30" s="162" t="s">
        <v>140</v>
      </c>
      <c r="G30" s="162" t="s">
        <v>246</v>
      </c>
      <c r="H30" s="162" t="s">
        <v>44</v>
      </c>
      <c r="I30" s="162" t="s">
        <v>45</v>
      </c>
      <c r="J30" s="162" t="s">
        <v>140</v>
      </c>
      <c r="K30" s="162" t="s">
        <v>305</v>
      </c>
      <c r="L30" s="162" t="s">
        <v>44</v>
      </c>
      <c r="M30" s="162" t="s">
        <v>343</v>
      </c>
      <c r="N30" s="162" t="s">
        <v>391</v>
      </c>
      <c r="O30" s="162" t="s">
        <v>140</v>
      </c>
      <c r="P30" s="162" t="s">
        <v>173</v>
      </c>
      <c r="Q30" s="162" t="s">
        <v>173</v>
      </c>
      <c r="R30" s="162" t="s">
        <v>173</v>
      </c>
      <c r="S30" s="162" t="s">
        <v>218</v>
      </c>
      <c r="T30" s="162" t="s">
        <v>137</v>
      </c>
      <c r="U30" s="162" t="s">
        <v>343</v>
      </c>
      <c r="V30" s="162" t="s">
        <v>305</v>
      </c>
      <c r="W30" s="162" t="s">
        <v>137</v>
      </c>
      <c r="X30" s="162" t="s">
        <v>45</v>
      </c>
      <c r="Y30" s="162" t="s">
        <v>140</v>
      </c>
      <c r="Z30" s="162" t="s">
        <v>247</v>
      </c>
      <c r="AA30" s="162" t="s">
        <v>45</v>
      </c>
      <c r="AB30" s="162" t="s">
        <v>45</v>
      </c>
      <c r="AC30" s="162" t="s">
        <v>45</v>
      </c>
      <c r="AD30" s="162" t="s">
        <v>343</v>
      </c>
      <c r="AE30" s="162" t="s">
        <v>246</v>
      </c>
      <c r="AF30" s="162" t="s">
        <v>343</v>
      </c>
    </row>
    <row r="31" spans="1:32" ht="36" x14ac:dyDescent="0.25">
      <c r="A31" s="166" t="s">
        <v>143</v>
      </c>
      <c r="B31" s="162"/>
      <c r="C31" s="162"/>
      <c r="D31" s="162" t="s">
        <v>48</v>
      </c>
      <c r="E31" s="162" t="s">
        <v>45</v>
      </c>
      <c r="F31" s="162" t="s">
        <v>137</v>
      </c>
      <c r="G31" s="162" t="s">
        <v>247</v>
      </c>
      <c r="H31" s="162" t="s">
        <v>248</v>
      </c>
      <c r="I31" s="162" t="s">
        <v>45</v>
      </c>
      <c r="J31" s="162" t="s">
        <v>137</v>
      </c>
      <c r="K31" s="162" t="s">
        <v>247</v>
      </c>
      <c r="L31" s="162" t="s">
        <v>48</v>
      </c>
      <c r="M31" s="162" t="s">
        <v>343</v>
      </c>
      <c r="N31" s="162" t="s">
        <v>391</v>
      </c>
      <c r="O31" s="162" t="s">
        <v>140</v>
      </c>
      <c r="P31" s="162" t="s">
        <v>173</v>
      </c>
      <c r="Q31" s="162" t="s">
        <v>173</v>
      </c>
      <c r="R31" s="162" t="s">
        <v>173</v>
      </c>
      <c r="S31" s="162" t="s">
        <v>218</v>
      </c>
      <c r="T31" s="162" t="s">
        <v>467</v>
      </c>
      <c r="U31" s="162" t="s">
        <v>343</v>
      </c>
      <c r="V31" s="162" t="s">
        <v>247</v>
      </c>
      <c r="W31" s="162" t="s">
        <v>467</v>
      </c>
      <c r="X31" s="162" t="s">
        <v>45</v>
      </c>
      <c r="Y31" s="162" t="s">
        <v>390</v>
      </c>
      <c r="Z31" s="162" t="s">
        <v>565</v>
      </c>
      <c r="AA31" s="162" t="s">
        <v>45</v>
      </c>
      <c r="AB31" s="162" t="s">
        <v>45</v>
      </c>
      <c r="AC31" s="162" t="s">
        <v>45</v>
      </c>
      <c r="AD31" s="162" t="s">
        <v>246</v>
      </c>
      <c r="AE31" s="162" t="s">
        <v>44</v>
      </c>
      <c r="AF31" s="162" t="s">
        <v>246</v>
      </c>
    </row>
    <row r="32" spans="1:32" ht="72" x14ac:dyDescent="0.25">
      <c r="A32" s="166" t="s">
        <v>145</v>
      </c>
      <c r="B32" s="162"/>
      <c r="C32" s="162"/>
      <c r="D32" s="162" t="s">
        <v>146</v>
      </c>
      <c r="E32" s="162" t="s">
        <v>146</v>
      </c>
      <c r="F32" s="162" t="s">
        <v>121</v>
      </c>
      <c r="G32" s="162" t="s">
        <v>266</v>
      </c>
      <c r="H32" s="162" t="s">
        <v>266</v>
      </c>
      <c r="I32" s="162" t="s">
        <v>146</v>
      </c>
      <c r="J32" s="162" t="s">
        <v>146</v>
      </c>
      <c r="K32" s="162" t="s">
        <v>146</v>
      </c>
      <c r="L32" s="162" t="s">
        <v>146</v>
      </c>
      <c r="M32" s="162" t="s">
        <v>379</v>
      </c>
      <c r="N32" s="162" t="s">
        <v>380</v>
      </c>
      <c r="O32" s="162" t="s">
        <v>224</v>
      </c>
      <c r="P32" s="162" t="s">
        <v>381</v>
      </c>
      <c r="Q32" s="162" t="s">
        <v>381</v>
      </c>
      <c r="R32" s="162" t="s">
        <v>471</v>
      </c>
      <c r="S32" s="162" t="s">
        <v>382</v>
      </c>
      <c r="T32" s="162" t="s">
        <v>224</v>
      </c>
      <c r="U32" s="162" t="s">
        <v>379</v>
      </c>
      <c r="V32" s="162" t="s">
        <v>496</v>
      </c>
      <c r="W32" s="162" t="s">
        <v>532</v>
      </c>
      <c r="X32" s="162" t="s">
        <v>146</v>
      </c>
      <c r="Y32" s="162" t="s">
        <v>121</v>
      </c>
      <c r="Z32" s="162" t="s">
        <v>587</v>
      </c>
      <c r="AA32" s="162" t="s">
        <v>146</v>
      </c>
      <c r="AB32" s="162" t="s">
        <v>146</v>
      </c>
      <c r="AC32" s="162" t="s">
        <v>146</v>
      </c>
      <c r="AD32" s="162" t="s">
        <v>379</v>
      </c>
      <c r="AE32" s="162" t="s">
        <v>379</v>
      </c>
      <c r="AF32" s="162" t="s">
        <v>146</v>
      </c>
    </row>
    <row r="33" spans="1:32" ht="81" x14ac:dyDescent="0.25">
      <c r="A33" s="166" t="s">
        <v>147</v>
      </c>
      <c r="B33" s="162"/>
      <c r="C33" s="162"/>
      <c r="D33" s="162" t="s">
        <v>148</v>
      </c>
      <c r="E33" s="162" t="s">
        <v>45</v>
      </c>
      <c r="F33" s="162" t="s">
        <v>140</v>
      </c>
      <c r="G33" s="162" t="s">
        <v>274</v>
      </c>
      <c r="H33" s="162" t="s">
        <v>148</v>
      </c>
      <c r="I33" s="162" t="s">
        <v>45</v>
      </c>
      <c r="J33" s="162" t="s">
        <v>321</v>
      </c>
      <c r="K33" s="162" t="s">
        <v>322</v>
      </c>
      <c r="L33" s="162" t="s">
        <v>148</v>
      </c>
      <c r="M33" s="162" t="s">
        <v>343</v>
      </c>
      <c r="N33" s="162" t="s">
        <v>391</v>
      </c>
      <c r="O33" s="162" t="s">
        <v>140</v>
      </c>
      <c r="P33" s="162" t="s">
        <v>173</v>
      </c>
      <c r="Q33" s="162" t="s">
        <v>173</v>
      </c>
      <c r="R33" s="162" t="s">
        <v>173</v>
      </c>
      <c r="S33" s="162" t="s">
        <v>218</v>
      </c>
      <c r="T33" s="162" t="s">
        <v>137</v>
      </c>
      <c r="U33" s="162" t="s">
        <v>343</v>
      </c>
      <c r="V33" s="162" t="s">
        <v>322</v>
      </c>
      <c r="W33" s="162" t="s">
        <v>533</v>
      </c>
      <c r="X33" s="162" t="s">
        <v>45</v>
      </c>
      <c r="Y33" s="162" t="s">
        <v>140</v>
      </c>
      <c r="Z33" s="162" t="s">
        <v>690</v>
      </c>
      <c r="AA33" s="162" t="s">
        <v>45</v>
      </c>
      <c r="AB33" s="162" t="s">
        <v>45</v>
      </c>
      <c r="AC33" s="162" t="s">
        <v>45</v>
      </c>
      <c r="AD33" s="162" t="s">
        <v>614</v>
      </c>
      <c r="AE33" s="162" t="s">
        <v>274</v>
      </c>
      <c r="AF33" s="162" t="s">
        <v>614</v>
      </c>
    </row>
    <row r="34" spans="1:32" ht="72" x14ac:dyDescent="0.25">
      <c r="A34" s="166" t="s">
        <v>149</v>
      </c>
      <c r="B34" s="162"/>
      <c r="C34" s="162"/>
      <c r="D34" s="162" t="s">
        <v>146</v>
      </c>
      <c r="E34" s="162" t="s">
        <v>146</v>
      </c>
      <c r="F34" s="162" t="s">
        <v>121</v>
      </c>
      <c r="G34" s="162" t="s">
        <v>266</v>
      </c>
      <c r="H34" s="162" t="s">
        <v>266</v>
      </c>
      <c r="I34" s="162" t="s">
        <v>146</v>
      </c>
      <c r="J34" s="162" t="s">
        <v>146</v>
      </c>
      <c r="K34" s="162" t="s">
        <v>146</v>
      </c>
      <c r="L34" s="162" t="s">
        <v>146</v>
      </c>
      <c r="M34" s="162" t="s">
        <v>379</v>
      </c>
      <c r="N34" s="162" t="s">
        <v>380</v>
      </c>
      <c r="O34" s="162" t="s">
        <v>224</v>
      </c>
      <c r="P34" s="162" t="s">
        <v>381</v>
      </c>
      <c r="Q34" s="162" t="s">
        <v>381</v>
      </c>
      <c r="R34" s="162" t="s">
        <v>471</v>
      </c>
      <c r="S34" s="162" t="s">
        <v>382</v>
      </c>
      <c r="T34" s="162" t="s">
        <v>224</v>
      </c>
      <c r="U34" s="162" t="s">
        <v>379</v>
      </c>
      <c r="V34" s="162" t="s">
        <v>496</v>
      </c>
      <c r="W34" s="162" t="s">
        <v>532</v>
      </c>
      <c r="X34" s="162" t="s">
        <v>146</v>
      </c>
      <c r="Y34" s="162" t="s">
        <v>121</v>
      </c>
      <c r="Z34" s="162" t="s">
        <v>587</v>
      </c>
      <c r="AA34" s="162" t="s">
        <v>146</v>
      </c>
      <c r="AB34" s="162" t="s">
        <v>146</v>
      </c>
      <c r="AC34" s="162" t="s">
        <v>146</v>
      </c>
      <c r="AD34" s="162" t="s">
        <v>379</v>
      </c>
      <c r="AE34" s="162" t="s">
        <v>379</v>
      </c>
      <c r="AF34" s="162" t="s">
        <v>146</v>
      </c>
    </row>
    <row r="35" spans="1:32" ht="81" x14ac:dyDescent="0.25">
      <c r="A35" s="166" t="s">
        <v>150</v>
      </c>
      <c r="B35" s="162"/>
      <c r="C35" s="162"/>
      <c r="D35" s="162" t="s">
        <v>148</v>
      </c>
      <c r="E35" s="162" t="s">
        <v>45</v>
      </c>
      <c r="F35" s="162" t="s">
        <v>140</v>
      </c>
      <c r="G35" s="162" t="s">
        <v>274</v>
      </c>
      <c r="H35" s="162" t="s">
        <v>148</v>
      </c>
      <c r="I35" s="162" t="s">
        <v>45</v>
      </c>
      <c r="J35" s="162" t="s">
        <v>321</v>
      </c>
      <c r="K35" s="162" t="s">
        <v>322</v>
      </c>
      <c r="L35" s="162" t="s">
        <v>148</v>
      </c>
      <c r="M35" s="162" t="s">
        <v>343</v>
      </c>
      <c r="N35" s="162" t="s">
        <v>391</v>
      </c>
      <c r="O35" s="162" t="s">
        <v>140</v>
      </c>
      <c r="P35" s="162" t="s">
        <v>173</v>
      </c>
      <c r="Q35" s="162" t="s">
        <v>173</v>
      </c>
      <c r="R35" s="162" t="s">
        <v>173</v>
      </c>
      <c r="S35" s="162" t="s">
        <v>218</v>
      </c>
      <c r="T35" s="162" t="s">
        <v>137</v>
      </c>
      <c r="U35" s="162" t="s">
        <v>343</v>
      </c>
      <c r="V35" s="162" t="s">
        <v>322</v>
      </c>
      <c r="W35" s="162" t="s">
        <v>533</v>
      </c>
      <c r="X35" s="162" t="s">
        <v>45</v>
      </c>
      <c r="Y35" s="162" t="s">
        <v>140</v>
      </c>
      <c r="Z35" s="162" t="s">
        <v>690</v>
      </c>
      <c r="AA35" s="162" t="s">
        <v>45</v>
      </c>
      <c r="AB35" s="162" t="s">
        <v>45</v>
      </c>
      <c r="AC35" s="162" t="s">
        <v>45</v>
      </c>
      <c r="AD35" s="162" t="s">
        <v>614</v>
      </c>
      <c r="AE35" s="162" t="s">
        <v>274</v>
      </c>
      <c r="AF35" s="162" t="s">
        <v>614</v>
      </c>
    </row>
    <row r="36" spans="1:32" ht="99" x14ac:dyDescent="0.25">
      <c r="A36" s="166" t="s">
        <v>167</v>
      </c>
      <c r="B36" s="162"/>
      <c r="C36" s="162"/>
      <c r="D36" s="162" t="s">
        <v>168</v>
      </c>
      <c r="E36" s="162" t="s">
        <v>170</v>
      </c>
      <c r="F36" s="162" t="s">
        <v>171</v>
      </c>
      <c r="G36" s="162" t="s">
        <v>282</v>
      </c>
      <c r="H36" s="162" t="s">
        <v>284</v>
      </c>
      <c r="I36" s="162" t="s">
        <v>283</v>
      </c>
      <c r="J36" s="162" t="s">
        <v>323</v>
      </c>
      <c r="K36" s="162" t="s">
        <v>325</v>
      </c>
      <c r="L36" s="162" t="s">
        <v>326</v>
      </c>
      <c r="M36" s="162" t="s">
        <v>404</v>
      </c>
      <c r="N36" s="162" t="s">
        <v>231</v>
      </c>
      <c r="O36" s="162" t="s">
        <v>231</v>
      </c>
      <c r="P36" s="162" t="s">
        <v>405</v>
      </c>
      <c r="Q36" s="162" t="s">
        <v>405</v>
      </c>
      <c r="R36" s="162" t="s">
        <v>405</v>
      </c>
      <c r="S36" s="162" t="s">
        <v>406</v>
      </c>
      <c r="T36" s="162" t="s">
        <v>685</v>
      </c>
      <c r="U36" s="162" t="s">
        <v>404</v>
      </c>
      <c r="V36" s="162" t="s">
        <v>282</v>
      </c>
      <c r="W36" s="162" t="s">
        <v>544</v>
      </c>
      <c r="X36" s="162" t="s">
        <v>170</v>
      </c>
      <c r="Y36" s="162" t="s">
        <v>545</v>
      </c>
      <c r="Z36" s="162" t="s">
        <v>592</v>
      </c>
      <c r="AA36" s="162" t="s">
        <v>170</v>
      </c>
      <c r="AB36" s="162" t="s">
        <v>170</v>
      </c>
      <c r="AC36" s="162" t="s">
        <v>170</v>
      </c>
      <c r="AD36" s="162" t="s">
        <v>404</v>
      </c>
      <c r="AE36" s="162" t="s">
        <v>615</v>
      </c>
      <c r="AF36" s="162" t="s">
        <v>616</v>
      </c>
    </row>
    <row r="37" spans="1:32" ht="36" x14ac:dyDescent="0.25">
      <c r="A37" s="166" t="s">
        <v>172</v>
      </c>
      <c r="B37" s="162"/>
      <c r="C37" s="162"/>
      <c r="D37" s="162" t="s">
        <v>173</v>
      </c>
      <c r="E37" s="162" t="s">
        <v>173</v>
      </c>
      <c r="F37" s="162" t="s">
        <v>173</v>
      </c>
      <c r="G37" s="162" t="s">
        <v>287</v>
      </c>
      <c r="H37" s="162" t="s">
        <v>287</v>
      </c>
      <c r="I37" s="162" t="s">
        <v>173</v>
      </c>
      <c r="J37" s="162" t="s">
        <v>173</v>
      </c>
      <c r="K37" s="162" t="s">
        <v>173</v>
      </c>
      <c r="L37" s="162" t="s">
        <v>173</v>
      </c>
      <c r="M37" s="162" t="s">
        <v>407</v>
      </c>
      <c r="N37" s="162" t="s">
        <v>408</v>
      </c>
      <c r="O37" s="162" t="s">
        <v>45</v>
      </c>
      <c r="P37" s="162" t="s">
        <v>173</v>
      </c>
      <c r="Q37" s="162" t="s">
        <v>173</v>
      </c>
      <c r="R37" s="162" t="s">
        <v>173</v>
      </c>
      <c r="S37" s="162" t="s">
        <v>218</v>
      </c>
      <c r="T37" s="162" t="s">
        <v>173</v>
      </c>
      <c r="U37" s="162" t="s">
        <v>407</v>
      </c>
      <c r="V37" s="162" t="s">
        <v>287</v>
      </c>
      <c r="W37" s="162" t="s">
        <v>173</v>
      </c>
      <c r="X37" s="162" t="s">
        <v>173</v>
      </c>
      <c r="Y37" s="162" t="s">
        <v>173</v>
      </c>
      <c r="Z37" s="162" t="s">
        <v>173</v>
      </c>
      <c r="AA37" s="162" t="s">
        <v>173</v>
      </c>
      <c r="AB37" s="162" t="s">
        <v>173</v>
      </c>
      <c r="AC37" s="162" t="s">
        <v>173</v>
      </c>
      <c r="AD37" s="162" t="s">
        <v>287</v>
      </c>
      <c r="AE37" s="162" t="s">
        <v>287</v>
      </c>
      <c r="AF37" s="162" t="s">
        <v>173</v>
      </c>
    </row>
    <row r="38" spans="1:32" ht="45" x14ac:dyDescent="0.25">
      <c r="A38" s="166" t="s">
        <v>175</v>
      </c>
      <c r="B38" s="162"/>
      <c r="C38" s="162"/>
      <c r="D38" s="162" t="s">
        <v>44</v>
      </c>
      <c r="E38" s="162" t="s">
        <v>45</v>
      </c>
      <c r="F38" s="162" t="s">
        <v>46</v>
      </c>
      <c r="G38" s="162" t="s">
        <v>246</v>
      </c>
      <c r="H38" s="162" t="s">
        <v>44</v>
      </c>
      <c r="I38" s="162" t="s">
        <v>45</v>
      </c>
      <c r="J38" s="162" t="s">
        <v>140</v>
      </c>
      <c r="K38" s="162" t="s">
        <v>305</v>
      </c>
      <c r="L38" s="162" t="s">
        <v>44</v>
      </c>
      <c r="M38" s="162" t="s">
        <v>409</v>
      </c>
      <c r="N38" s="162" t="s">
        <v>410</v>
      </c>
      <c r="O38" s="162" t="s">
        <v>232</v>
      </c>
      <c r="P38" s="162" t="s">
        <v>173</v>
      </c>
      <c r="Q38" s="162" t="s">
        <v>173</v>
      </c>
      <c r="R38" s="162" t="s">
        <v>173</v>
      </c>
      <c r="S38" s="162" t="s">
        <v>218</v>
      </c>
      <c r="T38" s="162" t="s">
        <v>49</v>
      </c>
      <c r="U38" s="162" t="s">
        <v>409</v>
      </c>
      <c r="V38" s="162" t="s">
        <v>305</v>
      </c>
      <c r="W38" s="162" t="s">
        <v>137</v>
      </c>
      <c r="X38" s="162" t="s">
        <v>45</v>
      </c>
      <c r="Y38" s="162" t="s">
        <v>46</v>
      </c>
      <c r="Z38" s="162" t="s">
        <v>247</v>
      </c>
      <c r="AA38" s="162" t="s">
        <v>45</v>
      </c>
      <c r="AB38" s="162" t="s">
        <v>45</v>
      </c>
      <c r="AC38" s="162" t="s">
        <v>45</v>
      </c>
      <c r="AD38" s="162" t="s">
        <v>343</v>
      </c>
      <c r="AE38" s="162" t="s">
        <v>246</v>
      </c>
      <c r="AF38" s="162" t="s">
        <v>343</v>
      </c>
    </row>
    <row r="39" spans="1:32" ht="54" x14ac:dyDescent="0.25">
      <c r="A39" s="166" t="s">
        <v>181</v>
      </c>
      <c r="B39" s="162"/>
      <c r="C39" s="162"/>
      <c r="D39" s="162" t="s">
        <v>182</v>
      </c>
      <c r="E39" s="162" t="s">
        <v>184</v>
      </c>
      <c r="F39" s="162" t="s">
        <v>184</v>
      </c>
      <c r="G39" s="162" t="s">
        <v>182</v>
      </c>
      <c r="H39" s="162" t="s">
        <v>182</v>
      </c>
      <c r="I39" s="162" t="s">
        <v>184</v>
      </c>
      <c r="J39" s="162" t="s">
        <v>184</v>
      </c>
      <c r="K39" s="162" t="s">
        <v>182</v>
      </c>
      <c r="L39" s="162" t="s">
        <v>182</v>
      </c>
      <c r="M39" s="162" t="s">
        <v>112</v>
      </c>
      <c r="N39" s="162" t="s">
        <v>112</v>
      </c>
      <c r="O39" s="162" t="s">
        <v>112</v>
      </c>
      <c r="P39" s="162" t="s">
        <v>112</v>
      </c>
      <c r="Q39" s="162" t="s">
        <v>112</v>
      </c>
      <c r="R39" s="162" t="s">
        <v>184</v>
      </c>
      <c r="S39" s="162" t="s">
        <v>184</v>
      </c>
      <c r="T39" s="162" t="s">
        <v>184</v>
      </c>
      <c r="U39" s="162" t="s">
        <v>112</v>
      </c>
      <c r="V39" s="162" t="s">
        <v>182</v>
      </c>
      <c r="W39" s="162" t="s">
        <v>184</v>
      </c>
      <c r="X39" s="162" t="s">
        <v>184</v>
      </c>
      <c r="Y39" s="162" t="s">
        <v>184</v>
      </c>
      <c r="Z39" s="162" t="s">
        <v>182</v>
      </c>
      <c r="AA39" s="162" t="s">
        <v>184</v>
      </c>
      <c r="AB39" s="162" t="s">
        <v>184</v>
      </c>
      <c r="AC39" s="162" t="s">
        <v>184</v>
      </c>
      <c r="AD39" s="162" t="s">
        <v>182</v>
      </c>
      <c r="AE39" s="162" t="s">
        <v>182</v>
      </c>
      <c r="AF39" s="162" t="s">
        <v>182</v>
      </c>
    </row>
    <row r="40" spans="1:32" ht="36" x14ac:dyDescent="0.25">
      <c r="A40" s="167" t="s">
        <v>186</v>
      </c>
      <c r="B40" s="162"/>
      <c r="C40" s="162"/>
      <c r="D40" s="162" t="s">
        <v>503</v>
      </c>
      <c r="E40" s="162" t="s">
        <v>503</v>
      </c>
      <c r="F40" s="162" t="s">
        <v>503</v>
      </c>
      <c r="G40" s="162" t="s">
        <v>503</v>
      </c>
      <c r="H40" s="162" t="s">
        <v>503</v>
      </c>
      <c r="I40" s="162" t="s">
        <v>503</v>
      </c>
      <c r="J40" s="162" t="s">
        <v>503</v>
      </c>
      <c r="K40" s="162" t="s">
        <v>503</v>
      </c>
      <c r="L40" s="162" t="s">
        <v>503</v>
      </c>
      <c r="M40" s="162" t="s">
        <v>112</v>
      </c>
      <c r="N40" s="162" t="s">
        <v>112</v>
      </c>
      <c r="O40" s="162" t="s">
        <v>112</v>
      </c>
      <c r="P40" s="162" t="s">
        <v>112</v>
      </c>
      <c r="Q40" s="162" t="s">
        <v>112</v>
      </c>
      <c r="R40" s="162" t="s">
        <v>503</v>
      </c>
      <c r="S40" s="162" t="s">
        <v>503</v>
      </c>
      <c r="T40" s="162" t="s">
        <v>503</v>
      </c>
      <c r="U40" s="162" t="s">
        <v>112</v>
      </c>
      <c r="V40" s="162" t="s">
        <v>503</v>
      </c>
      <c r="W40" s="162" t="s">
        <v>503</v>
      </c>
      <c r="X40" s="162" t="s">
        <v>503</v>
      </c>
      <c r="Y40" s="162" t="s">
        <v>503</v>
      </c>
      <c r="Z40" s="162" t="s">
        <v>503</v>
      </c>
      <c r="AA40" s="162" t="s">
        <v>503</v>
      </c>
      <c r="AB40" s="162" t="s">
        <v>503</v>
      </c>
      <c r="AC40" s="162" t="s">
        <v>503</v>
      </c>
      <c r="AD40" s="162" t="s">
        <v>503</v>
      </c>
      <c r="AE40" s="162" t="s">
        <v>503</v>
      </c>
      <c r="AF40" s="162" t="s">
        <v>503</v>
      </c>
    </row>
    <row r="41" spans="1:32" ht="153" x14ac:dyDescent="0.25">
      <c r="A41" s="167" t="s">
        <v>196</v>
      </c>
      <c r="B41" s="162"/>
      <c r="C41" s="162"/>
      <c r="D41" s="162" t="s">
        <v>197</v>
      </c>
      <c r="E41" s="162" t="s">
        <v>200</v>
      </c>
      <c r="F41" s="162" t="s">
        <v>200</v>
      </c>
      <c r="G41" s="162" t="s">
        <v>292</v>
      </c>
      <c r="H41" s="162" t="s">
        <v>292</v>
      </c>
      <c r="I41" s="162" t="s">
        <v>200</v>
      </c>
      <c r="J41" s="162" t="s">
        <v>197</v>
      </c>
      <c r="K41" s="162" t="s">
        <v>197</v>
      </c>
      <c r="L41" s="162" t="s">
        <v>197</v>
      </c>
      <c r="M41" s="162" t="s">
        <v>424</v>
      </c>
      <c r="N41" s="162" t="s">
        <v>426</v>
      </c>
      <c r="O41" s="162" t="s">
        <v>428</v>
      </c>
      <c r="P41" s="162" t="s">
        <v>173</v>
      </c>
      <c r="Q41" s="162" t="s">
        <v>173</v>
      </c>
      <c r="R41" s="162" t="s">
        <v>482</v>
      </c>
      <c r="S41" s="162" t="s">
        <v>482</v>
      </c>
      <c r="T41" s="162" t="s">
        <v>482</v>
      </c>
      <c r="U41" s="162" t="s">
        <v>424</v>
      </c>
      <c r="V41" s="162" t="s">
        <v>292</v>
      </c>
      <c r="W41" s="162" t="s">
        <v>197</v>
      </c>
      <c r="X41" s="162" t="s">
        <v>200</v>
      </c>
      <c r="Y41" s="162" t="s">
        <v>200</v>
      </c>
      <c r="Z41" s="162" t="s">
        <v>197</v>
      </c>
      <c r="AA41" s="162" t="s">
        <v>691</v>
      </c>
      <c r="AB41" s="162" t="s">
        <v>691</v>
      </c>
      <c r="AC41" s="162" t="s">
        <v>691</v>
      </c>
      <c r="AD41" s="162" t="s">
        <v>292</v>
      </c>
      <c r="AE41" s="162" t="s">
        <v>292</v>
      </c>
      <c r="AF41" s="162" t="s">
        <v>197</v>
      </c>
    </row>
    <row r="44" spans="1:32" x14ac:dyDescent="0.25">
      <c r="A44" s="166" t="s">
        <v>22</v>
      </c>
      <c r="B44" s="346"/>
      <c r="C44" s="346"/>
      <c r="D44" s="169">
        <v>626.05999999999995</v>
      </c>
      <c r="E44" s="169">
        <v>644.95000000000005</v>
      </c>
      <c r="F44" s="169">
        <v>622.03</v>
      </c>
      <c r="G44" s="169">
        <v>681.83</v>
      </c>
      <c r="H44" s="169">
        <v>695.29</v>
      </c>
      <c r="I44" s="169">
        <v>652.66999999999996</v>
      </c>
      <c r="J44" s="169">
        <v>673.98</v>
      </c>
      <c r="K44" s="169">
        <v>671.85</v>
      </c>
      <c r="L44" s="169">
        <v>654.36</v>
      </c>
      <c r="M44" s="169">
        <v>815.8</v>
      </c>
      <c r="N44" s="169">
        <v>617.86</v>
      </c>
      <c r="O44" s="169">
        <v>706.9</v>
      </c>
      <c r="P44" s="169">
        <v>438.64</v>
      </c>
      <c r="Q44" s="169">
        <v>438.64</v>
      </c>
      <c r="R44" s="169">
        <v>438.68</v>
      </c>
      <c r="S44" s="169">
        <v>438.93</v>
      </c>
      <c r="T44" s="169">
        <v>439.44</v>
      </c>
      <c r="U44" s="169">
        <v>815.8</v>
      </c>
      <c r="V44" s="169">
        <v>795.26</v>
      </c>
      <c r="W44" s="169">
        <v>555.41999999999996</v>
      </c>
      <c r="X44" s="169">
        <v>557.23</v>
      </c>
      <c r="Y44" s="169">
        <v>562.09</v>
      </c>
      <c r="Z44" s="169">
        <v>462.05</v>
      </c>
      <c r="AA44" s="169">
        <v>550.27</v>
      </c>
      <c r="AB44" s="169">
        <v>546.37</v>
      </c>
      <c r="AC44" s="169">
        <v>521.23</v>
      </c>
      <c r="AD44" s="169">
        <v>822.87</v>
      </c>
      <c r="AE44" s="169">
        <v>810.88</v>
      </c>
      <c r="AF44" s="169">
        <v>807.88</v>
      </c>
    </row>
    <row r="45" spans="1:32" ht="18" x14ac:dyDescent="0.25">
      <c r="A45" s="166" t="s">
        <v>23</v>
      </c>
      <c r="B45" s="346"/>
      <c r="C45" s="346"/>
      <c r="D45" s="169">
        <v>1252.1199999999999</v>
      </c>
      <c r="E45" s="169">
        <v>1289.9100000000001</v>
      </c>
      <c r="F45" s="169">
        <v>1244.06</v>
      </c>
      <c r="G45" s="169">
        <v>1363.65</v>
      </c>
      <c r="H45" s="169">
        <v>1390.57</v>
      </c>
      <c r="I45" s="169">
        <v>1305.33</v>
      </c>
      <c r="J45" s="169">
        <v>1347.95</v>
      </c>
      <c r="K45" s="169">
        <v>1343.69</v>
      </c>
      <c r="L45" s="169">
        <v>1308.72</v>
      </c>
      <c r="M45" s="169">
        <v>1631.59</v>
      </c>
      <c r="N45" s="169">
        <v>1235.73</v>
      </c>
      <c r="O45" s="169">
        <v>1413.81</v>
      </c>
      <c r="P45" s="169">
        <v>877.27</v>
      </c>
      <c r="Q45" s="169">
        <v>877.27</v>
      </c>
      <c r="R45" s="169">
        <v>877.35</v>
      </c>
      <c r="S45" s="169">
        <v>877.87</v>
      </c>
      <c r="T45" s="169">
        <v>878.88</v>
      </c>
      <c r="U45" s="169">
        <v>1631.59</v>
      </c>
      <c r="V45" s="169">
        <v>1590.52</v>
      </c>
      <c r="W45" s="169">
        <v>1110.8399999999999</v>
      </c>
      <c r="X45" s="169">
        <v>1114.47</v>
      </c>
      <c r="Y45" s="169">
        <v>1124.18</v>
      </c>
      <c r="Z45" s="169">
        <v>924.1</v>
      </c>
      <c r="AA45" s="169">
        <v>1100.55</v>
      </c>
      <c r="AB45" s="169">
        <v>1092.74</v>
      </c>
      <c r="AC45" s="169">
        <v>1042.46</v>
      </c>
      <c r="AD45" s="169">
        <v>1645.75</v>
      </c>
      <c r="AE45" s="169">
        <v>1621.76</v>
      </c>
      <c r="AF45" s="169">
        <v>1615.76</v>
      </c>
    </row>
    <row r="46" spans="1:32" ht="27" x14ac:dyDescent="0.25">
      <c r="A46" s="166" t="s">
        <v>24</v>
      </c>
      <c r="B46" s="346"/>
      <c r="C46" s="346"/>
      <c r="D46" s="169">
        <v>1064.3</v>
      </c>
      <c r="E46" s="169">
        <v>1096.43</v>
      </c>
      <c r="F46" s="169">
        <v>1057.45</v>
      </c>
      <c r="G46" s="169">
        <v>1159.1099999999999</v>
      </c>
      <c r="H46" s="169">
        <v>1181.99</v>
      </c>
      <c r="I46" s="169">
        <v>1109.53</v>
      </c>
      <c r="J46" s="169">
        <v>1145.76</v>
      </c>
      <c r="K46" s="169">
        <v>1142.1400000000001</v>
      </c>
      <c r="L46" s="169">
        <v>1112.4100000000001</v>
      </c>
      <c r="M46" s="169">
        <v>1386.86</v>
      </c>
      <c r="N46" s="169">
        <v>1050.3699999999999</v>
      </c>
      <c r="O46" s="169">
        <v>1201.74</v>
      </c>
      <c r="P46" s="169">
        <v>745.68</v>
      </c>
      <c r="Q46" s="169">
        <v>745.68</v>
      </c>
      <c r="R46" s="169">
        <v>745.75</v>
      </c>
      <c r="S46" s="169">
        <v>746.19</v>
      </c>
      <c r="T46" s="169">
        <v>747.05</v>
      </c>
      <c r="U46" s="169">
        <v>1386.86</v>
      </c>
      <c r="V46" s="169">
        <v>1351.94</v>
      </c>
      <c r="W46" s="169">
        <v>944.22</v>
      </c>
      <c r="X46" s="169">
        <v>947.3</v>
      </c>
      <c r="Y46" s="169">
        <v>955.56</v>
      </c>
      <c r="Z46" s="169">
        <v>785.49</v>
      </c>
      <c r="AA46" s="169">
        <v>935.46</v>
      </c>
      <c r="AB46" s="169">
        <v>928.82</v>
      </c>
      <c r="AC46" s="169">
        <v>886.09</v>
      </c>
      <c r="AD46" s="169">
        <v>1398.89</v>
      </c>
      <c r="AE46" s="169">
        <v>1378.5</v>
      </c>
      <c r="AF46" s="169">
        <v>1373.4</v>
      </c>
    </row>
    <row r="47" spans="1:32" x14ac:dyDescent="0.25">
      <c r="A47" s="166" t="s">
        <v>25</v>
      </c>
      <c r="B47" s="346"/>
      <c r="C47" s="346"/>
      <c r="D47" s="169">
        <v>1784.28</v>
      </c>
      <c r="E47" s="169">
        <v>1838.12</v>
      </c>
      <c r="F47" s="169">
        <v>1772.78</v>
      </c>
      <c r="G47" s="169">
        <v>1943.21</v>
      </c>
      <c r="H47" s="169">
        <v>1981.57</v>
      </c>
      <c r="I47" s="169">
        <v>1860.1</v>
      </c>
      <c r="J47" s="169">
        <v>1920.84</v>
      </c>
      <c r="K47" s="169">
        <v>1914.76</v>
      </c>
      <c r="L47" s="169">
        <v>1864.92</v>
      </c>
      <c r="M47" s="169">
        <v>2325.02</v>
      </c>
      <c r="N47" s="169">
        <v>1760.92</v>
      </c>
      <c r="O47" s="169">
        <v>2014.67</v>
      </c>
      <c r="P47" s="169">
        <v>1250.1099999999999</v>
      </c>
      <c r="Q47" s="169">
        <v>1250.1099999999999</v>
      </c>
      <c r="R47" s="169">
        <v>1250.22</v>
      </c>
      <c r="S47" s="169">
        <v>1250.96</v>
      </c>
      <c r="T47" s="169">
        <v>1252.4000000000001</v>
      </c>
      <c r="U47" s="169">
        <v>2325.02</v>
      </c>
      <c r="V47" s="169">
        <v>2266.4899999999998</v>
      </c>
      <c r="W47" s="169">
        <v>1582.95</v>
      </c>
      <c r="X47" s="169">
        <v>1588.11</v>
      </c>
      <c r="Y47" s="169">
        <v>1601.96</v>
      </c>
      <c r="Z47" s="169">
        <v>1316.84</v>
      </c>
      <c r="AA47" s="169">
        <v>1568.29</v>
      </c>
      <c r="AB47" s="169">
        <v>1557.16</v>
      </c>
      <c r="AC47" s="169">
        <v>1485.51</v>
      </c>
      <c r="AD47" s="169">
        <v>2345.19</v>
      </c>
      <c r="AE47" s="169">
        <v>2311.0100000000002</v>
      </c>
      <c r="AF47" s="169">
        <v>2302.4499999999998</v>
      </c>
    </row>
  </sheetData>
  <mergeCells count="5">
    <mergeCell ref="B1:C1"/>
    <mergeCell ref="B44:C44"/>
    <mergeCell ref="B45:C45"/>
    <mergeCell ref="B46:C46"/>
    <mergeCell ref="B47:C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51"/>
  <sheetViews>
    <sheetView workbookViewId="0"/>
  </sheetViews>
  <sheetFormatPr defaultColWidth="9" defaultRowHeight="15" x14ac:dyDescent="0.25"/>
  <cols>
    <col min="1" max="2" width="16" style="168" customWidth="1"/>
    <col min="3" max="31" width="35.5703125" style="178" customWidth="1"/>
  </cols>
  <sheetData>
    <row r="1" spans="1:31" s="160" customFormat="1" ht="36" customHeight="1" x14ac:dyDescent="0.25">
      <c r="A1" s="164"/>
      <c r="B1" s="172"/>
      <c r="C1" s="191" t="s">
        <v>716</v>
      </c>
      <c r="D1" s="191" t="s">
        <v>0</v>
      </c>
      <c r="E1" s="191" t="s">
        <v>1</v>
      </c>
      <c r="F1" s="191" t="s">
        <v>2</v>
      </c>
      <c r="G1" s="191" t="s">
        <v>238</v>
      </c>
      <c r="H1" s="191" t="s">
        <v>239</v>
      </c>
      <c r="I1" s="191" t="s">
        <v>240</v>
      </c>
      <c r="J1" s="191" t="s">
        <v>299</v>
      </c>
      <c r="K1" s="191" t="s">
        <v>300</v>
      </c>
      <c r="L1" s="191" t="s">
        <v>301</v>
      </c>
      <c r="M1" s="191" t="s">
        <v>332</v>
      </c>
      <c r="N1" s="191" t="s">
        <v>333</v>
      </c>
      <c r="O1" s="191" t="s">
        <v>334</v>
      </c>
      <c r="P1" s="191" t="s">
        <v>335</v>
      </c>
      <c r="Q1" s="191" t="s">
        <v>436</v>
      </c>
      <c r="R1" s="191" t="s">
        <v>437</v>
      </c>
      <c r="S1" s="191" t="s">
        <v>438</v>
      </c>
      <c r="T1" s="191" t="s">
        <v>332</v>
      </c>
      <c r="U1" s="191" t="s">
        <v>489</v>
      </c>
      <c r="V1" s="191" t="s">
        <v>506</v>
      </c>
      <c r="W1" s="191" t="s">
        <v>507</v>
      </c>
      <c r="X1" s="191" t="s">
        <v>508</v>
      </c>
      <c r="Y1" s="191" t="s">
        <v>557</v>
      </c>
      <c r="Z1" s="191" t="s">
        <v>558</v>
      </c>
      <c r="AA1" s="191" t="s">
        <v>559</v>
      </c>
      <c r="AB1" s="191" t="s">
        <v>560</v>
      </c>
      <c r="AC1" s="191" t="s">
        <v>599</v>
      </c>
      <c r="AD1" s="191" t="s">
        <v>600</v>
      </c>
      <c r="AE1" s="191" t="s">
        <v>601</v>
      </c>
    </row>
    <row r="2" spans="1:31" x14ac:dyDescent="0.25">
      <c r="B2" s="211" t="s">
        <v>630</v>
      </c>
      <c r="C2" s="162"/>
      <c r="D2" s="175">
        <v>2250</v>
      </c>
      <c r="E2" s="175">
        <v>1800</v>
      </c>
      <c r="F2" s="175">
        <v>2000</v>
      </c>
      <c r="G2" s="162" t="s">
        <v>66</v>
      </c>
      <c r="H2" s="162" t="s">
        <v>66</v>
      </c>
      <c r="I2" s="175">
        <v>1600</v>
      </c>
      <c r="J2" s="175">
        <v>1000</v>
      </c>
      <c r="K2" s="175">
        <v>1000</v>
      </c>
      <c r="L2" s="175">
        <v>1100</v>
      </c>
      <c r="M2" s="162" t="s">
        <v>66</v>
      </c>
      <c r="N2" s="175">
        <v>1300</v>
      </c>
      <c r="O2" s="175">
        <v>600</v>
      </c>
      <c r="P2" s="175">
        <v>6100</v>
      </c>
      <c r="Q2" s="175">
        <v>5500</v>
      </c>
      <c r="R2" s="175">
        <v>7000</v>
      </c>
      <c r="S2" s="175">
        <v>6000</v>
      </c>
      <c r="T2" s="162" t="s">
        <v>66</v>
      </c>
      <c r="U2" s="162" t="s">
        <v>66</v>
      </c>
      <c r="V2" s="175">
        <v>2500</v>
      </c>
      <c r="W2" s="175">
        <v>2600</v>
      </c>
      <c r="X2" s="175">
        <v>2500</v>
      </c>
      <c r="Y2" s="175">
        <v>7500</v>
      </c>
      <c r="Z2" s="175">
        <v>2800</v>
      </c>
      <c r="AA2" s="175">
        <v>3200</v>
      </c>
      <c r="AB2" s="175">
        <v>3600</v>
      </c>
      <c r="AC2" s="162" t="s">
        <v>66</v>
      </c>
      <c r="AD2" s="162" t="s">
        <v>66</v>
      </c>
      <c r="AE2" s="175">
        <v>250</v>
      </c>
    </row>
    <row r="3" spans="1:31" x14ac:dyDescent="0.25">
      <c r="B3" s="211" t="s">
        <v>631</v>
      </c>
      <c r="C3" s="162"/>
      <c r="D3" s="175">
        <v>4500</v>
      </c>
      <c r="E3" s="175">
        <v>3600</v>
      </c>
      <c r="F3" s="175">
        <v>4000</v>
      </c>
      <c r="G3" s="162" t="s">
        <v>66</v>
      </c>
      <c r="H3" s="162" t="s">
        <v>66</v>
      </c>
      <c r="I3" s="175">
        <v>3200</v>
      </c>
      <c r="J3" s="175">
        <v>2000</v>
      </c>
      <c r="K3" s="175">
        <v>2000</v>
      </c>
      <c r="L3" s="175">
        <v>2200</v>
      </c>
      <c r="M3" s="162" t="s">
        <v>66</v>
      </c>
      <c r="N3" s="175">
        <v>2600</v>
      </c>
      <c r="O3" s="175">
        <v>1200</v>
      </c>
      <c r="P3" s="175">
        <v>12200</v>
      </c>
      <c r="Q3" s="175">
        <v>11000</v>
      </c>
      <c r="R3" s="175">
        <v>14000</v>
      </c>
      <c r="S3" s="175">
        <v>12000</v>
      </c>
      <c r="T3" s="162" t="s">
        <v>66</v>
      </c>
      <c r="U3" s="162" t="s">
        <v>66</v>
      </c>
      <c r="V3" s="175">
        <v>5000</v>
      </c>
      <c r="W3" s="175">
        <v>5200</v>
      </c>
      <c r="X3" s="175">
        <v>5000</v>
      </c>
      <c r="Y3" s="175">
        <v>15000</v>
      </c>
      <c r="Z3" s="175">
        <v>5600</v>
      </c>
      <c r="AA3" s="175">
        <v>6400</v>
      </c>
      <c r="AB3" s="175">
        <v>7200</v>
      </c>
      <c r="AC3" s="162" t="s">
        <v>66</v>
      </c>
      <c r="AD3" s="162" t="s">
        <v>66</v>
      </c>
      <c r="AE3" s="175">
        <v>500</v>
      </c>
    </row>
    <row r="4" spans="1:31" s="207" customFormat="1" x14ac:dyDescent="0.25">
      <c r="B4" s="204" t="s">
        <v>632</v>
      </c>
      <c r="C4" s="190" t="s">
        <v>723</v>
      </c>
      <c r="D4" s="206"/>
      <c r="E4" s="206"/>
      <c r="F4" s="206"/>
      <c r="G4" s="190"/>
      <c r="H4" s="190"/>
      <c r="I4" s="206"/>
      <c r="J4" s="206"/>
      <c r="K4" s="206"/>
      <c r="L4" s="206"/>
      <c r="M4" s="190"/>
      <c r="N4" s="206"/>
      <c r="O4" s="206"/>
      <c r="P4" s="206"/>
      <c r="Q4" s="206"/>
      <c r="R4" s="206"/>
      <c r="S4" s="206"/>
      <c r="T4" s="190"/>
      <c r="U4" s="190"/>
      <c r="V4" s="206"/>
      <c r="W4" s="206"/>
      <c r="X4" s="206"/>
      <c r="Y4" s="206"/>
      <c r="Z4" s="206"/>
      <c r="AA4" s="206"/>
      <c r="AB4" s="206"/>
      <c r="AC4" s="190"/>
      <c r="AD4" s="190"/>
      <c r="AE4" s="206"/>
    </row>
    <row r="5" spans="1:31" ht="14.25" customHeight="1" x14ac:dyDescent="0.25">
      <c r="B5" s="212" t="s">
        <v>633</v>
      </c>
      <c r="C5" s="162"/>
      <c r="D5" s="175">
        <v>6850</v>
      </c>
      <c r="E5" s="175">
        <v>3600</v>
      </c>
      <c r="F5" s="175">
        <v>6000</v>
      </c>
      <c r="G5" s="175">
        <v>7900</v>
      </c>
      <c r="H5" s="175">
        <v>8000</v>
      </c>
      <c r="I5" s="175">
        <v>3200</v>
      </c>
      <c r="J5" s="175">
        <v>5500</v>
      </c>
      <c r="K5" s="175">
        <v>8150</v>
      </c>
      <c r="L5" s="175">
        <v>8250</v>
      </c>
      <c r="M5" s="175">
        <v>2000</v>
      </c>
      <c r="N5" s="175">
        <v>8500</v>
      </c>
      <c r="O5" s="175">
        <v>4000</v>
      </c>
      <c r="P5" s="175">
        <v>6900</v>
      </c>
      <c r="Q5" s="175">
        <v>7000</v>
      </c>
      <c r="R5" s="175">
        <v>7000</v>
      </c>
      <c r="S5" s="175">
        <v>7000</v>
      </c>
      <c r="T5" s="175">
        <v>2000</v>
      </c>
      <c r="U5" s="175">
        <v>6550</v>
      </c>
      <c r="V5" s="175">
        <v>8000</v>
      </c>
      <c r="W5" s="175">
        <v>7000</v>
      </c>
      <c r="X5" s="175">
        <v>6750</v>
      </c>
      <c r="Y5" s="175">
        <v>8250</v>
      </c>
      <c r="Z5" s="175">
        <v>6550</v>
      </c>
      <c r="AA5" s="175">
        <v>6550</v>
      </c>
      <c r="AB5" s="175">
        <v>6550</v>
      </c>
      <c r="AC5" s="175">
        <v>5000</v>
      </c>
      <c r="AD5" s="175">
        <v>4500</v>
      </c>
      <c r="AE5" s="175">
        <v>2000</v>
      </c>
    </row>
    <row r="6" spans="1:31" ht="18" customHeight="1" x14ac:dyDescent="0.25">
      <c r="B6" s="212" t="s">
        <v>634</v>
      </c>
      <c r="C6" s="162"/>
      <c r="D6" s="175">
        <v>13700</v>
      </c>
      <c r="E6" s="175">
        <v>7200</v>
      </c>
      <c r="F6" s="175">
        <v>12000</v>
      </c>
      <c r="G6" s="175">
        <v>15800</v>
      </c>
      <c r="H6" s="175">
        <v>16000</v>
      </c>
      <c r="I6" s="175">
        <v>6400</v>
      </c>
      <c r="J6" s="175">
        <v>11000</v>
      </c>
      <c r="K6" s="175">
        <v>16300</v>
      </c>
      <c r="L6" s="175">
        <v>16500</v>
      </c>
      <c r="M6" s="175">
        <v>4000</v>
      </c>
      <c r="N6" s="175">
        <v>17000</v>
      </c>
      <c r="O6" s="175">
        <v>8000</v>
      </c>
      <c r="P6" s="175">
        <v>13800</v>
      </c>
      <c r="Q6" s="175">
        <v>14000</v>
      </c>
      <c r="R6" s="175">
        <v>14000</v>
      </c>
      <c r="S6" s="175">
        <v>14000</v>
      </c>
      <c r="T6" s="175">
        <v>4000</v>
      </c>
      <c r="U6" s="175">
        <v>13100</v>
      </c>
      <c r="V6" s="175">
        <v>16000</v>
      </c>
      <c r="W6" s="175">
        <v>14000</v>
      </c>
      <c r="X6" s="175">
        <v>13500</v>
      </c>
      <c r="Y6" s="175">
        <v>16500</v>
      </c>
      <c r="Z6" s="175">
        <v>13100</v>
      </c>
      <c r="AA6" s="175">
        <v>13100</v>
      </c>
      <c r="AB6" s="175">
        <v>13100</v>
      </c>
      <c r="AC6" s="175">
        <v>10000</v>
      </c>
      <c r="AD6" s="175">
        <v>9000</v>
      </c>
      <c r="AE6" s="175">
        <v>4000</v>
      </c>
    </row>
    <row r="7" spans="1:31" x14ac:dyDescent="0.25">
      <c r="B7" s="212" t="s">
        <v>50</v>
      </c>
      <c r="C7" s="162"/>
      <c r="D7" s="162" t="s">
        <v>51</v>
      </c>
      <c r="E7" s="162" t="s">
        <v>51</v>
      </c>
      <c r="F7" s="162" t="s">
        <v>53</v>
      </c>
      <c r="G7" s="162" t="s">
        <v>66</v>
      </c>
      <c r="H7" s="162" t="s">
        <v>66</v>
      </c>
      <c r="I7" s="162" t="s">
        <v>51</v>
      </c>
      <c r="J7" s="162" t="s">
        <v>51</v>
      </c>
      <c r="K7" s="162" t="s">
        <v>51</v>
      </c>
      <c r="L7" s="162" t="s">
        <v>51</v>
      </c>
      <c r="M7" s="162" t="s">
        <v>66</v>
      </c>
      <c r="N7" s="162" t="s">
        <v>53</v>
      </c>
      <c r="O7" s="162" t="s">
        <v>53</v>
      </c>
      <c r="P7" s="162" t="s">
        <v>287</v>
      </c>
      <c r="Q7" s="162" t="s">
        <v>287</v>
      </c>
      <c r="R7" s="162" t="s">
        <v>53</v>
      </c>
      <c r="S7" s="162" t="s">
        <v>53</v>
      </c>
      <c r="T7" s="162" t="s">
        <v>66</v>
      </c>
      <c r="U7" s="162" t="s">
        <v>66</v>
      </c>
      <c r="V7" s="162" t="s">
        <v>512</v>
      </c>
      <c r="W7" s="162" t="s">
        <v>51</v>
      </c>
      <c r="X7" s="162" t="s">
        <v>53</v>
      </c>
      <c r="Y7" s="162" t="s">
        <v>566</v>
      </c>
      <c r="Z7" s="162" t="s">
        <v>51</v>
      </c>
      <c r="AA7" s="162" t="s">
        <v>51</v>
      </c>
      <c r="AB7" s="162" t="s">
        <v>51</v>
      </c>
      <c r="AC7" s="162" t="s">
        <v>66</v>
      </c>
      <c r="AD7" s="162" t="s">
        <v>66</v>
      </c>
      <c r="AE7" s="162" t="s">
        <v>51</v>
      </c>
    </row>
    <row r="8" spans="1:31" s="207" customFormat="1" ht="18" x14ac:dyDescent="0.25">
      <c r="B8" s="208" t="s">
        <v>636</v>
      </c>
      <c r="C8" s="190" t="s">
        <v>724</v>
      </c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</row>
    <row r="9" spans="1:31" ht="18" customHeight="1" x14ac:dyDescent="0.25">
      <c r="A9"/>
      <c r="B9" s="213" t="s">
        <v>71</v>
      </c>
      <c r="C9" s="163"/>
      <c r="D9" s="176" t="s">
        <v>70</v>
      </c>
      <c r="E9" s="176" t="s">
        <v>70</v>
      </c>
      <c r="F9" s="176" t="s">
        <v>70</v>
      </c>
      <c r="G9" s="176" t="s">
        <v>70</v>
      </c>
      <c r="H9" s="176" t="s">
        <v>70</v>
      </c>
      <c r="I9" s="176" t="s">
        <v>70</v>
      </c>
      <c r="J9" s="176" t="s">
        <v>70</v>
      </c>
      <c r="K9" s="176" t="s">
        <v>70</v>
      </c>
      <c r="L9" s="176" t="s">
        <v>70</v>
      </c>
      <c r="M9" s="176" t="s">
        <v>70</v>
      </c>
      <c r="N9" s="176" t="s">
        <v>70</v>
      </c>
      <c r="O9" s="176" t="s">
        <v>70</v>
      </c>
      <c r="P9" s="176" t="s">
        <v>70</v>
      </c>
      <c r="Q9" s="176" t="s">
        <v>70</v>
      </c>
      <c r="R9" s="176" t="s">
        <v>70</v>
      </c>
      <c r="S9" s="176" t="s">
        <v>70</v>
      </c>
      <c r="T9" s="176" t="s">
        <v>70</v>
      </c>
      <c r="U9" s="176" t="s">
        <v>70</v>
      </c>
      <c r="V9" s="176" t="s">
        <v>70</v>
      </c>
      <c r="W9" s="176" t="s">
        <v>70</v>
      </c>
      <c r="X9" s="176" t="s">
        <v>70</v>
      </c>
      <c r="Y9" s="176" t="s">
        <v>70</v>
      </c>
      <c r="Z9" s="176" t="s">
        <v>70</v>
      </c>
      <c r="AA9" s="176" t="s">
        <v>70</v>
      </c>
      <c r="AB9" s="176" t="s">
        <v>70</v>
      </c>
      <c r="AC9" s="176" t="s">
        <v>70</v>
      </c>
      <c r="AD9" s="176" t="s">
        <v>70</v>
      </c>
      <c r="AE9" s="176" t="s">
        <v>70</v>
      </c>
    </row>
    <row r="10" spans="1:31" x14ac:dyDescent="0.25">
      <c r="B10" s="212" t="s">
        <v>75</v>
      </c>
      <c r="C10" s="162"/>
      <c r="D10" s="162" t="s">
        <v>70</v>
      </c>
      <c r="E10" s="162" t="s">
        <v>70</v>
      </c>
      <c r="F10" s="162" t="s">
        <v>70</v>
      </c>
      <c r="G10" s="162" t="s">
        <v>70</v>
      </c>
      <c r="H10" s="162" t="s">
        <v>70</v>
      </c>
      <c r="I10" s="162" t="s">
        <v>70</v>
      </c>
      <c r="J10" s="162" t="s">
        <v>70</v>
      </c>
      <c r="K10" s="162" t="s">
        <v>70</v>
      </c>
      <c r="L10" s="162" t="s">
        <v>70</v>
      </c>
      <c r="M10" s="162" t="s">
        <v>70</v>
      </c>
      <c r="N10" s="162" t="s">
        <v>70</v>
      </c>
      <c r="O10" s="162" t="s">
        <v>70</v>
      </c>
      <c r="P10" s="162" t="s">
        <v>70</v>
      </c>
      <c r="Q10" s="162" t="s">
        <v>70</v>
      </c>
      <c r="R10" s="162" t="s">
        <v>70</v>
      </c>
      <c r="S10" s="162" t="s">
        <v>70</v>
      </c>
      <c r="T10" s="162" t="s">
        <v>70</v>
      </c>
      <c r="U10" s="162" t="s">
        <v>70</v>
      </c>
      <c r="V10" s="162" t="s">
        <v>70</v>
      </c>
      <c r="W10" s="162" t="s">
        <v>70</v>
      </c>
      <c r="X10" s="162" t="s">
        <v>70</v>
      </c>
      <c r="Y10" s="162" t="s">
        <v>70</v>
      </c>
      <c r="Z10" s="162" t="s">
        <v>70</v>
      </c>
      <c r="AA10" s="162" t="s">
        <v>70</v>
      </c>
      <c r="AB10" s="162" t="s">
        <v>70</v>
      </c>
      <c r="AC10" s="162" t="s">
        <v>70</v>
      </c>
      <c r="AD10" s="162" t="s">
        <v>70</v>
      </c>
      <c r="AE10" s="162" t="s">
        <v>70</v>
      </c>
    </row>
    <row r="11" spans="1:31" ht="18" customHeight="1" x14ac:dyDescent="0.25">
      <c r="B11" s="212" t="s">
        <v>713</v>
      </c>
      <c r="C11" s="162"/>
      <c r="D11" s="162" t="s">
        <v>70</v>
      </c>
      <c r="E11" s="162" t="s">
        <v>70</v>
      </c>
      <c r="F11" s="162" t="s">
        <v>70</v>
      </c>
      <c r="G11" s="162" t="s">
        <v>70</v>
      </c>
      <c r="H11" s="162" t="s">
        <v>70</v>
      </c>
      <c r="I11" s="162" t="s">
        <v>70</v>
      </c>
      <c r="J11" s="162" t="s">
        <v>70</v>
      </c>
      <c r="K11" s="162" t="s">
        <v>70</v>
      </c>
      <c r="L11" s="162" t="s">
        <v>70</v>
      </c>
      <c r="M11" s="162" t="s">
        <v>70</v>
      </c>
      <c r="N11" s="162" t="s">
        <v>70</v>
      </c>
      <c r="O11" s="162" t="s">
        <v>70</v>
      </c>
      <c r="P11" s="162" t="s">
        <v>70</v>
      </c>
      <c r="Q11" s="162" t="s">
        <v>70</v>
      </c>
      <c r="R11" s="162" t="s">
        <v>70</v>
      </c>
      <c r="S11" s="162" t="s">
        <v>70</v>
      </c>
      <c r="T11" s="162" t="s">
        <v>70</v>
      </c>
      <c r="U11" s="162" t="s">
        <v>70</v>
      </c>
      <c r="V11" s="162" t="s">
        <v>70</v>
      </c>
      <c r="W11" s="162" t="s">
        <v>70</v>
      </c>
      <c r="X11" s="162" t="s">
        <v>70</v>
      </c>
      <c r="Y11" s="162" t="s">
        <v>70</v>
      </c>
      <c r="Z11" s="162" t="s">
        <v>70</v>
      </c>
      <c r="AA11" s="162" t="s">
        <v>70</v>
      </c>
      <c r="AB11" s="162" t="s">
        <v>70</v>
      </c>
      <c r="AC11" s="162" t="s">
        <v>70</v>
      </c>
      <c r="AD11" s="162" t="s">
        <v>70</v>
      </c>
      <c r="AE11" s="162" t="s">
        <v>70</v>
      </c>
    </row>
    <row r="12" spans="1:31" x14ac:dyDescent="0.25">
      <c r="B12" s="212" t="s">
        <v>714</v>
      </c>
      <c r="C12" s="162"/>
      <c r="D12" s="162" t="s">
        <v>70</v>
      </c>
      <c r="E12" s="162" t="s">
        <v>70</v>
      </c>
      <c r="F12" s="162" t="s">
        <v>70</v>
      </c>
      <c r="G12" s="162" t="s">
        <v>70</v>
      </c>
      <c r="H12" s="162" t="s">
        <v>70</v>
      </c>
      <c r="I12" s="162" t="s">
        <v>70</v>
      </c>
      <c r="J12" s="162" t="s">
        <v>70</v>
      </c>
      <c r="K12" s="162" t="s">
        <v>70</v>
      </c>
      <c r="L12" s="162" t="s">
        <v>70</v>
      </c>
      <c r="M12" s="162" t="s">
        <v>70</v>
      </c>
      <c r="N12" s="162" t="s">
        <v>70</v>
      </c>
      <c r="O12" s="162" t="s">
        <v>70</v>
      </c>
      <c r="P12" s="162" t="s">
        <v>70</v>
      </c>
      <c r="Q12" s="162" t="s">
        <v>70</v>
      </c>
      <c r="R12" s="162" t="s">
        <v>70</v>
      </c>
      <c r="S12" s="162" t="s">
        <v>70</v>
      </c>
      <c r="T12" s="162" t="s">
        <v>70</v>
      </c>
      <c r="U12" s="162" t="s">
        <v>70</v>
      </c>
      <c r="V12" s="162" t="s">
        <v>70</v>
      </c>
      <c r="W12" s="162" t="s">
        <v>70</v>
      </c>
      <c r="X12" s="162" t="s">
        <v>70</v>
      </c>
      <c r="Y12" s="162" t="s">
        <v>70</v>
      </c>
      <c r="Z12" s="162" t="s">
        <v>70</v>
      </c>
      <c r="AA12" s="162" t="s">
        <v>70</v>
      </c>
      <c r="AB12" s="162" t="s">
        <v>70</v>
      </c>
      <c r="AC12" s="162" t="s">
        <v>70</v>
      </c>
      <c r="AD12" s="162" t="s">
        <v>70</v>
      </c>
      <c r="AE12" s="162" t="s">
        <v>70</v>
      </c>
    </row>
    <row r="13" spans="1:31" x14ac:dyDescent="0.25">
      <c r="B13" s="212" t="s">
        <v>69</v>
      </c>
      <c r="C13" s="162"/>
      <c r="D13" s="162" t="s">
        <v>70</v>
      </c>
      <c r="E13" s="162" t="s">
        <v>70</v>
      </c>
      <c r="F13" s="162" t="s">
        <v>70</v>
      </c>
      <c r="G13" s="162" t="s">
        <v>70</v>
      </c>
      <c r="H13" s="162" t="s">
        <v>70</v>
      </c>
      <c r="I13" s="162" t="s">
        <v>70</v>
      </c>
      <c r="J13" s="162" t="s">
        <v>70</v>
      </c>
      <c r="K13" s="162" t="s">
        <v>70</v>
      </c>
      <c r="L13" s="162" t="s">
        <v>70</v>
      </c>
      <c r="M13" s="162" t="s">
        <v>70</v>
      </c>
      <c r="N13" s="162" t="s">
        <v>70</v>
      </c>
      <c r="O13" s="162" t="s">
        <v>70</v>
      </c>
      <c r="P13" s="162" t="s">
        <v>70</v>
      </c>
      <c r="Q13" s="162" t="s">
        <v>70</v>
      </c>
      <c r="R13" s="162" t="s">
        <v>70</v>
      </c>
      <c r="S13" s="162" t="s">
        <v>70</v>
      </c>
      <c r="T13" s="162" t="s">
        <v>70</v>
      </c>
      <c r="U13" s="162" t="s">
        <v>70</v>
      </c>
      <c r="V13" s="162" t="s">
        <v>70</v>
      </c>
      <c r="W13" s="162" t="s">
        <v>70</v>
      </c>
      <c r="X13" s="162" t="s">
        <v>70</v>
      </c>
      <c r="Y13" s="162" t="s">
        <v>70</v>
      </c>
      <c r="Z13" s="162" t="s">
        <v>70</v>
      </c>
      <c r="AA13" s="162" t="s">
        <v>70</v>
      </c>
      <c r="AB13" s="162" t="s">
        <v>70</v>
      </c>
      <c r="AC13" s="162" t="s">
        <v>70</v>
      </c>
      <c r="AD13" s="162" t="s">
        <v>70</v>
      </c>
      <c r="AE13" s="162" t="s">
        <v>70</v>
      </c>
    </row>
    <row r="14" spans="1:31" ht="18" x14ac:dyDescent="0.25">
      <c r="B14" s="212" t="s">
        <v>43</v>
      </c>
      <c r="C14" s="162"/>
      <c r="D14" s="162" t="s">
        <v>44</v>
      </c>
      <c r="E14" s="162" t="s">
        <v>45</v>
      </c>
      <c r="F14" s="162" t="s">
        <v>46</v>
      </c>
      <c r="G14" s="162" t="s">
        <v>246</v>
      </c>
      <c r="H14" s="162" t="s">
        <v>44</v>
      </c>
      <c r="I14" s="162" t="s">
        <v>45</v>
      </c>
      <c r="J14" s="162" t="s">
        <v>46</v>
      </c>
      <c r="K14" s="162" t="s">
        <v>305</v>
      </c>
      <c r="L14" s="162" t="s">
        <v>44</v>
      </c>
      <c r="M14" s="162" t="s">
        <v>343</v>
      </c>
      <c r="N14" s="162" t="s">
        <v>344</v>
      </c>
      <c r="O14" s="162" t="s">
        <v>46</v>
      </c>
      <c r="P14" s="162" t="s">
        <v>173</v>
      </c>
      <c r="Q14" s="162" t="s">
        <v>173</v>
      </c>
      <c r="R14" s="162" t="s">
        <v>218</v>
      </c>
      <c r="S14" s="162" t="s">
        <v>49</v>
      </c>
      <c r="T14" s="162" t="s">
        <v>343</v>
      </c>
      <c r="U14" s="162" t="s">
        <v>305</v>
      </c>
      <c r="V14" s="162" t="s">
        <v>49</v>
      </c>
      <c r="W14" s="162" t="s">
        <v>45</v>
      </c>
      <c r="X14" s="162" t="s">
        <v>46</v>
      </c>
      <c r="Y14" s="162" t="s">
        <v>247</v>
      </c>
      <c r="Z14" s="162" t="s">
        <v>45</v>
      </c>
      <c r="AA14" s="162" t="s">
        <v>45</v>
      </c>
      <c r="AB14" s="162" t="s">
        <v>45</v>
      </c>
      <c r="AC14" s="162" t="s">
        <v>343</v>
      </c>
      <c r="AD14" s="162" t="s">
        <v>246</v>
      </c>
      <c r="AE14" s="162" t="s">
        <v>343</v>
      </c>
    </row>
    <row r="15" spans="1:31" ht="18" x14ac:dyDescent="0.25">
      <c r="A15"/>
      <c r="B15" s="212" t="s">
        <v>47</v>
      </c>
      <c r="C15" s="162"/>
      <c r="D15" s="162" t="s">
        <v>48</v>
      </c>
      <c r="E15" s="162" t="s">
        <v>45</v>
      </c>
      <c r="F15" s="162" t="s">
        <v>49</v>
      </c>
      <c r="G15" s="162" t="s">
        <v>247</v>
      </c>
      <c r="H15" s="162" t="s">
        <v>248</v>
      </c>
      <c r="I15" s="162" t="s">
        <v>45</v>
      </c>
      <c r="J15" s="162" t="s">
        <v>49</v>
      </c>
      <c r="K15" s="162" t="s">
        <v>247</v>
      </c>
      <c r="L15" s="162" t="s">
        <v>48</v>
      </c>
      <c r="M15" s="162" t="s">
        <v>345</v>
      </c>
      <c r="N15" s="162" t="s">
        <v>346</v>
      </c>
      <c r="O15" s="162" t="s">
        <v>49</v>
      </c>
      <c r="P15" s="162" t="s">
        <v>173</v>
      </c>
      <c r="Q15" s="162" t="s">
        <v>173</v>
      </c>
      <c r="R15" s="162" t="s">
        <v>218</v>
      </c>
      <c r="S15" s="162" t="s">
        <v>227</v>
      </c>
      <c r="T15" s="162" t="s">
        <v>345</v>
      </c>
      <c r="U15" s="162" t="s">
        <v>247</v>
      </c>
      <c r="V15" s="162" t="s">
        <v>227</v>
      </c>
      <c r="W15" s="162" t="s">
        <v>45</v>
      </c>
      <c r="X15" s="162" t="s">
        <v>346</v>
      </c>
      <c r="Y15" s="162" t="s">
        <v>565</v>
      </c>
      <c r="Z15" s="162" t="s">
        <v>45</v>
      </c>
      <c r="AA15" s="162" t="s">
        <v>45</v>
      </c>
      <c r="AB15" s="162" t="s">
        <v>45</v>
      </c>
      <c r="AC15" s="162" t="s">
        <v>246</v>
      </c>
      <c r="AD15" s="162" t="s">
        <v>44</v>
      </c>
      <c r="AE15" s="162" t="s">
        <v>246</v>
      </c>
    </row>
    <row r="16" spans="1:31" ht="18" customHeight="1" x14ac:dyDescent="0.25">
      <c r="B16" s="212" t="s">
        <v>134</v>
      </c>
      <c r="C16" s="162"/>
      <c r="D16" s="162" t="s">
        <v>48</v>
      </c>
      <c r="E16" s="162" t="s">
        <v>45</v>
      </c>
      <c r="F16" s="162" t="s">
        <v>49</v>
      </c>
      <c r="G16" s="162" t="s">
        <v>247</v>
      </c>
      <c r="H16" s="162" t="s">
        <v>248</v>
      </c>
      <c r="I16" s="162" t="s">
        <v>45</v>
      </c>
      <c r="J16" s="162" t="s">
        <v>49</v>
      </c>
      <c r="K16" s="162" t="s">
        <v>247</v>
      </c>
      <c r="L16" s="162" t="s">
        <v>48</v>
      </c>
      <c r="M16" s="162" t="s">
        <v>388</v>
      </c>
      <c r="N16" s="162" t="s">
        <v>389</v>
      </c>
      <c r="O16" s="162" t="s">
        <v>227</v>
      </c>
      <c r="P16" s="162" t="s">
        <v>173</v>
      </c>
      <c r="Q16" s="162" t="s">
        <v>173</v>
      </c>
      <c r="R16" s="162" t="s">
        <v>218</v>
      </c>
      <c r="S16" s="162" t="s">
        <v>227</v>
      </c>
      <c r="T16" s="162" t="s">
        <v>388</v>
      </c>
      <c r="U16" s="162" t="s">
        <v>247</v>
      </c>
      <c r="V16" s="162" t="s">
        <v>227</v>
      </c>
      <c r="W16" s="162" t="s">
        <v>45</v>
      </c>
      <c r="X16" s="162" t="s">
        <v>346</v>
      </c>
      <c r="Y16" s="162" t="s">
        <v>565</v>
      </c>
      <c r="Z16" s="162" t="s">
        <v>45</v>
      </c>
      <c r="AA16" s="162" t="s">
        <v>45</v>
      </c>
      <c r="AB16" s="162" t="s">
        <v>45</v>
      </c>
      <c r="AC16" s="162" t="s">
        <v>246</v>
      </c>
      <c r="AD16" s="162" t="s">
        <v>44</v>
      </c>
      <c r="AE16" s="162" t="s">
        <v>246</v>
      </c>
    </row>
    <row r="17" spans="1:31" x14ac:dyDescent="0.25">
      <c r="B17" s="212" t="s">
        <v>85</v>
      </c>
      <c r="C17" s="162"/>
      <c r="D17" s="162" t="s">
        <v>48</v>
      </c>
      <c r="E17" s="162" t="s">
        <v>45</v>
      </c>
      <c r="F17" s="162" t="s">
        <v>49</v>
      </c>
      <c r="G17" s="162" t="s">
        <v>247</v>
      </c>
      <c r="H17" s="162" t="s">
        <v>248</v>
      </c>
      <c r="I17" s="162" t="s">
        <v>45</v>
      </c>
      <c r="J17" s="162" t="s">
        <v>137</v>
      </c>
      <c r="K17" s="162" t="s">
        <v>247</v>
      </c>
      <c r="L17" s="162" t="s">
        <v>48</v>
      </c>
      <c r="M17" s="162" t="s">
        <v>364</v>
      </c>
      <c r="N17" s="162" t="s">
        <v>366</v>
      </c>
      <c r="O17" s="162" t="s">
        <v>367</v>
      </c>
      <c r="P17" s="162" t="s">
        <v>173</v>
      </c>
      <c r="Q17" s="162" t="s">
        <v>173</v>
      </c>
      <c r="R17" s="162" t="s">
        <v>218</v>
      </c>
      <c r="S17" s="162" t="s">
        <v>227</v>
      </c>
      <c r="T17" s="162" t="s">
        <v>364</v>
      </c>
      <c r="U17" s="162" t="s">
        <v>247</v>
      </c>
      <c r="V17" s="162" t="s">
        <v>467</v>
      </c>
      <c r="W17" s="162" t="s">
        <v>45</v>
      </c>
      <c r="X17" s="162" t="s">
        <v>346</v>
      </c>
      <c r="Y17" s="162" t="s">
        <v>565</v>
      </c>
      <c r="Z17" s="162" t="s">
        <v>45</v>
      </c>
      <c r="AA17" s="162" t="s">
        <v>45</v>
      </c>
      <c r="AB17" s="162" t="s">
        <v>45</v>
      </c>
      <c r="AC17" s="162" t="s">
        <v>246</v>
      </c>
      <c r="AD17" s="162" t="s">
        <v>44</v>
      </c>
      <c r="AE17" s="162" t="s">
        <v>246</v>
      </c>
    </row>
    <row r="18" spans="1:31" ht="27" x14ac:dyDescent="0.25">
      <c r="B18" s="212" t="s">
        <v>94</v>
      </c>
      <c r="C18" s="162"/>
      <c r="D18" s="162" t="s">
        <v>44</v>
      </c>
      <c r="E18" s="162" t="s">
        <v>45</v>
      </c>
      <c r="F18" s="162" t="s">
        <v>140</v>
      </c>
      <c r="G18" s="162" t="s">
        <v>247</v>
      </c>
      <c r="H18" s="162" t="s">
        <v>44</v>
      </c>
      <c r="I18" s="162" t="s">
        <v>89</v>
      </c>
      <c r="J18" s="162" t="s">
        <v>140</v>
      </c>
      <c r="K18" s="162" t="s">
        <v>305</v>
      </c>
      <c r="L18" s="162" t="s">
        <v>44</v>
      </c>
      <c r="M18" s="162" t="s">
        <v>364</v>
      </c>
      <c r="N18" s="162" t="s">
        <v>365</v>
      </c>
      <c r="O18" s="162" t="s">
        <v>96</v>
      </c>
      <c r="P18" s="162" t="s">
        <v>173</v>
      </c>
      <c r="Q18" s="162" t="s">
        <v>173</v>
      </c>
      <c r="R18" s="162" t="s">
        <v>218</v>
      </c>
      <c r="S18" s="162" t="s">
        <v>49</v>
      </c>
      <c r="T18" s="162" t="s">
        <v>364</v>
      </c>
      <c r="U18" s="162" t="s">
        <v>305</v>
      </c>
      <c r="V18" s="162" t="s">
        <v>137</v>
      </c>
      <c r="W18" s="162" t="s">
        <v>45</v>
      </c>
      <c r="X18" s="162" t="s">
        <v>46</v>
      </c>
      <c r="Y18" s="162" t="s">
        <v>247</v>
      </c>
      <c r="Z18" s="162" t="s">
        <v>45</v>
      </c>
      <c r="AA18" s="162" t="s">
        <v>45</v>
      </c>
      <c r="AB18" s="162" t="s">
        <v>45</v>
      </c>
      <c r="AC18" s="162" t="s">
        <v>343</v>
      </c>
      <c r="AD18" s="162" t="s">
        <v>246</v>
      </c>
      <c r="AE18" s="162" t="s">
        <v>343</v>
      </c>
    </row>
    <row r="19" spans="1:31" ht="18" x14ac:dyDescent="0.25">
      <c r="B19" s="214" t="s">
        <v>131</v>
      </c>
      <c r="C19" s="162"/>
      <c r="D19" s="162" t="s">
        <v>132</v>
      </c>
      <c r="E19" s="162" t="s">
        <v>45</v>
      </c>
      <c r="F19" s="162" t="s">
        <v>133</v>
      </c>
      <c r="G19" s="162" t="s">
        <v>270</v>
      </c>
      <c r="H19" s="162" t="s">
        <v>271</v>
      </c>
      <c r="I19" s="162" t="s">
        <v>45</v>
      </c>
      <c r="J19" s="162" t="s">
        <v>319</v>
      </c>
      <c r="K19" s="162" t="s">
        <v>320</v>
      </c>
      <c r="L19" s="162" t="s">
        <v>320</v>
      </c>
      <c r="M19" s="162" t="s">
        <v>87</v>
      </c>
      <c r="N19" s="162" t="s">
        <v>387</v>
      </c>
      <c r="O19" s="162" t="s">
        <v>133</v>
      </c>
      <c r="P19" s="162" t="s">
        <v>173</v>
      </c>
      <c r="Q19" s="162" t="s">
        <v>173</v>
      </c>
      <c r="R19" s="162" t="s">
        <v>218</v>
      </c>
      <c r="S19" s="162" t="s">
        <v>466</v>
      </c>
      <c r="T19" s="162" t="s">
        <v>87</v>
      </c>
      <c r="U19" s="162" t="s">
        <v>320</v>
      </c>
      <c r="V19" s="162" t="s">
        <v>530</v>
      </c>
      <c r="W19" s="162" t="s">
        <v>45</v>
      </c>
      <c r="X19" s="162" t="s">
        <v>387</v>
      </c>
      <c r="Y19" s="162" t="s">
        <v>584</v>
      </c>
      <c r="Z19" s="162" t="s">
        <v>45</v>
      </c>
      <c r="AA19" s="162" t="s">
        <v>45</v>
      </c>
      <c r="AB19" s="162" t="s">
        <v>45</v>
      </c>
      <c r="AC19" s="162" t="s">
        <v>612</v>
      </c>
      <c r="AD19" s="162" t="s">
        <v>612</v>
      </c>
      <c r="AE19" s="162" t="s">
        <v>612</v>
      </c>
    </row>
    <row r="20" spans="1:31" x14ac:dyDescent="0.25">
      <c r="B20" s="212" t="s">
        <v>135</v>
      </c>
      <c r="C20" s="162"/>
      <c r="D20" s="162" t="s">
        <v>132</v>
      </c>
      <c r="E20" s="162" t="s">
        <v>45</v>
      </c>
      <c r="F20" s="162" t="s">
        <v>133</v>
      </c>
      <c r="G20" s="162" t="s">
        <v>272</v>
      </c>
      <c r="H20" s="162" t="s">
        <v>273</v>
      </c>
      <c r="I20" s="162" t="s">
        <v>45</v>
      </c>
      <c r="J20" s="162" t="s">
        <v>319</v>
      </c>
      <c r="K20" s="162" t="s">
        <v>320</v>
      </c>
      <c r="L20" s="162" t="s">
        <v>320</v>
      </c>
      <c r="M20" s="162" t="s">
        <v>87</v>
      </c>
      <c r="N20" s="162" t="s">
        <v>133</v>
      </c>
      <c r="O20" s="162" t="s">
        <v>133</v>
      </c>
      <c r="P20" s="162" t="s">
        <v>173</v>
      </c>
      <c r="Q20" s="162" t="s">
        <v>173</v>
      </c>
      <c r="R20" s="162" t="s">
        <v>218</v>
      </c>
      <c r="S20" s="162" t="s">
        <v>466</v>
      </c>
      <c r="T20" s="162" t="s">
        <v>87</v>
      </c>
      <c r="U20" s="162" t="s">
        <v>498</v>
      </c>
      <c r="V20" s="162" t="s">
        <v>530</v>
      </c>
      <c r="W20" s="162" t="s">
        <v>45</v>
      </c>
      <c r="X20" s="162" t="s">
        <v>387</v>
      </c>
      <c r="Y20" s="162" t="s">
        <v>584</v>
      </c>
      <c r="Z20" s="162" t="s">
        <v>45</v>
      </c>
      <c r="AA20" s="162" t="s">
        <v>45</v>
      </c>
      <c r="AB20" s="162" t="s">
        <v>45</v>
      </c>
      <c r="AC20" s="162" t="s">
        <v>613</v>
      </c>
      <c r="AD20" s="162" t="s">
        <v>613</v>
      </c>
      <c r="AE20" s="162" t="s">
        <v>612</v>
      </c>
    </row>
    <row r="21" spans="1:31" ht="18" x14ac:dyDescent="0.25">
      <c r="B21" s="212" t="s">
        <v>118</v>
      </c>
      <c r="C21" s="162"/>
      <c r="D21" s="192" t="s">
        <v>119</v>
      </c>
      <c r="E21" s="192" t="s">
        <v>119</v>
      </c>
      <c r="F21" s="192" t="s">
        <v>121</v>
      </c>
      <c r="G21" s="192" t="s">
        <v>266</v>
      </c>
      <c r="H21" s="192" t="s">
        <v>266</v>
      </c>
      <c r="I21" s="192" t="s">
        <v>119</v>
      </c>
      <c r="J21" s="192" t="s">
        <v>119</v>
      </c>
      <c r="K21" s="192" t="s">
        <v>119</v>
      </c>
      <c r="L21" s="192" t="s">
        <v>119</v>
      </c>
      <c r="M21" s="192" t="s">
        <v>379</v>
      </c>
      <c r="N21" s="192" t="s">
        <v>380</v>
      </c>
      <c r="O21" s="192" t="s">
        <v>224</v>
      </c>
      <c r="P21" s="192" t="s">
        <v>381</v>
      </c>
      <c r="Q21" s="192" t="s">
        <v>381</v>
      </c>
      <c r="R21" s="192" t="s">
        <v>462</v>
      </c>
      <c r="S21" s="192" t="s">
        <v>224</v>
      </c>
      <c r="T21" s="193" t="s">
        <v>379</v>
      </c>
      <c r="U21" s="193" t="s">
        <v>496</v>
      </c>
      <c r="V21" s="192" t="s">
        <v>526</v>
      </c>
      <c r="W21" s="192" t="s">
        <v>119</v>
      </c>
      <c r="X21" s="192" t="s">
        <v>121</v>
      </c>
      <c r="Y21" s="193" t="s">
        <v>582</v>
      </c>
      <c r="Z21" s="193" t="s">
        <v>119</v>
      </c>
      <c r="AA21" s="193" t="s">
        <v>119</v>
      </c>
      <c r="AB21" s="193" t="s">
        <v>119</v>
      </c>
      <c r="AC21" s="192" t="s">
        <v>379</v>
      </c>
      <c r="AD21" s="192" t="s">
        <v>379</v>
      </c>
      <c r="AE21" s="192" t="s">
        <v>119</v>
      </c>
    </row>
    <row r="22" spans="1:31" ht="22.5" customHeight="1" x14ac:dyDescent="0.25">
      <c r="B22" s="215" t="s">
        <v>103</v>
      </c>
      <c r="C22" s="162"/>
      <c r="D22" s="162" t="s">
        <v>104</v>
      </c>
      <c r="E22" s="162" t="s">
        <v>104</v>
      </c>
      <c r="F22" s="162" t="s">
        <v>104</v>
      </c>
      <c r="G22" s="162" t="s">
        <v>104</v>
      </c>
      <c r="H22" s="162" t="s">
        <v>104</v>
      </c>
      <c r="I22" s="162" t="s">
        <v>104</v>
      </c>
      <c r="J22" s="162" t="s">
        <v>104</v>
      </c>
      <c r="K22" s="162" t="s">
        <v>104</v>
      </c>
      <c r="L22" s="162" t="s">
        <v>104</v>
      </c>
      <c r="M22" s="162" t="s">
        <v>104</v>
      </c>
      <c r="N22" s="162" t="s">
        <v>104</v>
      </c>
      <c r="O22" s="162" t="s">
        <v>104</v>
      </c>
      <c r="P22" s="162" t="s">
        <v>104</v>
      </c>
      <c r="Q22" s="162" t="s">
        <v>104</v>
      </c>
      <c r="R22" s="162" t="s">
        <v>104</v>
      </c>
      <c r="S22" s="162" t="s">
        <v>104</v>
      </c>
      <c r="T22" s="162" t="s">
        <v>104</v>
      </c>
      <c r="U22" s="162" t="s">
        <v>104</v>
      </c>
      <c r="V22" s="162" t="s">
        <v>104</v>
      </c>
      <c r="W22" s="162" t="s">
        <v>104</v>
      </c>
      <c r="X22" s="162" t="s">
        <v>104</v>
      </c>
      <c r="Y22" s="162" t="s">
        <v>104</v>
      </c>
      <c r="Z22" s="162" t="s">
        <v>104</v>
      </c>
      <c r="AA22" s="162" t="s">
        <v>104</v>
      </c>
      <c r="AB22" s="162" t="s">
        <v>104</v>
      </c>
      <c r="AC22" s="162" t="s">
        <v>104</v>
      </c>
      <c r="AD22" s="162" t="s">
        <v>104</v>
      </c>
      <c r="AE22" s="162" t="s">
        <v>104</v>
      </c>
    </row>
    <row r="23" spans="1:31" s="207" customFormat="1" ht="22.5" customHeight="1" x14ac:dyDescent="0.25">
      <c r="B23" s="216" t="s">
        <v>652</v>
      </c>
      <c r="C23" s="220" t="s">
        <v>725</v>
      </c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</row>
    <row r="24" spans="1:31" ht="63" customHeight="1" x14ac:dyDescent="0.25">
      <c r="A24"/>
      <c r="B24" s="225" t="s">
        <v>653</v>
      </c>
      <c r="C24" s="162"/>
      <c r="D24" s="162" t="s">
        <v>146</v>
      </c>
      <c r="E24" s="162" t="s">
        <v>146</v>
      </c>
      <c r="F24" s="162" t="s">
        <v>121</v>
      </c>
      <c r="G24" s="162" t="s">
        <v>266</v>
      </c>
      <c r="H24" s="162" t="s">
        <v>266</v>
      </c>
      <c r="I24" s="162" t="s">
        <v>146</v>
      </c>
      <c r="J24" s="162" t="s">
        <v>146</v>
      </c>
      <c r="K24" s="162" t="s">
        <v>146</v>
      </c>
      <c r="L24" s="162" t="s">
        <v>146</v>
      </c>
      <c r="M24" s="162" t="s">
        <v>379</v>
      </c>
      <c r="N24" s="162" t="s">
        <v>380</v>
      </c>
      <c r="O24" s="162" t="s">
        <v>224</v>
      </c>
      <c r="P24" s="162" t="s">
        <v>381</v>
      </c>
      <c r="Q24" s="162" t="s">
        <v>471</v>
      </c>
      <c r="R24" s="162" t="s">
        <v>382</v>
      </c>
      <c r="S24" s="162" t="s">
        <v>224</v>
      </c>
      <c r="T24" s="162" t="s">
        <v>379</v>
      </c>
      <c r="U24" s="162" t="s">
        <v>496</v>
      </c>
      <c r="V24" s="162" t="s">
        <v>532</v>
      </c>
      <c r="W24" s="162" t="s">
        <v>146</v>
      </c>
      <c r="X24" s="162" t="s">
        <v>121</v>
      </c>
      <c r="Y24" s="162" t="s">
        <v>587</v>
      </c>
      <c r="Z24" s="162" t="s">
        <v>146</v>
      </c>
      <c r="AA24" s="162" t="s">
        <v>146</v>
      </c>
      <c r="AB24" s="162" t="s">
        <v>146</v>
      </c>
      <c r="AC24" s="162" t="s">
        <v>379</v>
      </c>
      <c r="AD24" s="162" t="s">
        <v>379</v>
      </c>
      <c r="AE24" s="162" t="s">
        <v>146</v>
      </c>
    </row>
    <row r="25" spans="1:31" ht="18" x14ac:dyDescent="0.25">
      <c r="A25"/>
      <c r="B25" s="224" t="s">
        <v>654</v>
      </c>
      <c r="C25" s="162"/>
      <c r="D25" s="162" t="s">
        <v>148</v>
      </c>
      <c r="E25" s="162" t="s">
        <v>45</v>
      </c>
      <c r="F25" s="162" t="s">
        <v>140</v>
      </c>
      <c r="G25" s="162" t="s">
        <v>274</v>
      </c>
      <c r="H25" s="162" t="s">
        <v>148</v>
      </c>
      <c r="I25" s="162" t="s">
        <v>45</v>
      </c>
      <c r="J25" s="162" t="s">
        <v>321</v>
      </c>
      <c r="K25" s="162" t="s">
        <v>322</v>
      </c>
      <c r="L25" s="162" t="s">
        <v>148</v>
      </c>
      <c r="M25" s="162" t="s">
        <v>343</v>
      </c>
      <c r="N25" s="162" t="s">
        <v>391</v>
      </c>
      <c r="O25" s="162" t="s">
        <v>140</v>
      </c>
      <c r="P25" s="162" t="s">
        <v>173</v>
      </c>
      <c r="Q25" s="162" t="s">
        <v>173</v>
      </c>
      <c r="R25" s="162" t="s">
        <v>218</v>
      </c>
      <c r="S25" s="162" t="s">
        <v>137</v>
      </c>
      <c r="T25" s="162" t="s">
        <v>343</v>
      </c>
      <c r="U25" s="162" t="s">
        <v>322</v>
      </c>
      <c r="V25" s="162" t="s">
        <v>533</v>
      </c>
      <c r="W25" s="162" t="s">
        <v>45</v>
      </c>
      <c r="X25" s="162" t="s">
        <v>140</v>
      </c>
      <c r="Y25" s="162" t="s">
        <v>690</v>
      </c>
      <c r="Z25" s="162" t="s">
        <v>45</v>
      </c>
      <c r="AA25" s="162" t="s">
        <v>45</v>
      </c>
      <c r="AB25" s="162" t="s">
        <v>45</v>
      </c>
      <c r="AC25" s="162" t="s">
        <v>614</v>
      </c>
      <c r="AD25" s="162" t="s">
        <v>274</v>
      </c>
      <c r="AE25" s="162" t="s">
        <v>614</v>
      </c>
    </row>
    <row r="26" spans="1:31" x14ac:dyDescent="0.25">
      <c r="A26"/>
      <c r="B26" s="224" t="s">
        <v>98</v>
      </c>
      <c r="C26" s="162"/>
      <c r="D26" s="162" t="s">
        <v>44</v>
      </c>
      <c r="E26" s="162" t="s">
        <v>45</v>
      </c>
      <c r="F26" s="162" t="s">
        <v>99</v>
      </c>
      <c r="G26" s="162" t="s">
        <v>246</v>
      </c>
      <c r="H26" s="162" t="s">
        <v>44</v>
      </c>
      <c r="I26" s="162" t="s">
        <v>45</v>
      </c>
      <c r="J26" s="162" t="s">
        <v>99</v>
      </c>
      <c r="K26" s="162" t="s">
        <v>305</v>
      </c>
      <c r="L26" s="162" t="s">
        <v>44</v>
      </c>
      <c r="M26" s="162" t="s">
        <v>369</v>
      </c>
      <c r="N26" s="162" t="s">
        <v>370</v>
      </c>
      <c r="O26" s="162" t="s">
        <v>99</v>
      </c>
      <c r="P26" s="162" t="s">
        <v>173</v>
      </c>
      <c r="Q26" s="162" t="s">
        <v>173</v>
      </c>
      <c r="R26" s="162" t="s">
        <v>218</v>
      </c>
      <c r="S26" s="162" t="s">
        <v>101</v>
      </c>
      <c r="T26" s="162" t="s">
        <v>369</v>
      </c>
      <c r="U26" s="162" t="s">
        <v>305</v>
      </c>
      <c r="V26" s="162" t="s">
        <v>101</v>
      </c>
      <c r="W26" s="162" t="s">
        <v>45</v>
      </c>
      <c r="X26" s="162" t="s">
        <v>99</v>
      </c>
      <c r="Y26" s="162" t="s">
        <v>247</v>
      </c>
      <c r="Z26" s="162" t="s">
        <v>45</v>
      </c>
      <c r="AA26" s="162" t="s">
        <v>45</v>
      </c>
      <c r="AB26" s="162" t="s">
        <v>45</v>
      </c>
      <c r="AC26" s="162" t="s">
        <v>343</v>
      </c>
      <c r="AD26" s="162" t="s">
        <v>246</v>
      </c>
      <c r="AE26" s="162" t="s">
        <v>343</v>
      </c>
    </row>
    <row r="27" spans="1:31" x14ac:dyDescent="0.25">
      <c r="A27"/>
      <c r="B27" s="224" t="s">
        <v>100</v>
      </c>
      <c r="C27" s="162"/>
      <c r="D27" s="162" t="s">
        <v>48</v>
      </c>
      <c r="E27" s="162" t="s">
        <v>45</v>
      </c>
      <c r="F27" s="162" t="s">
        <v>101</v>
      </c>
      <c r="G27" s="162" t="s">
        <v>247</v>
      </c>
      <c r="H27" s="162" t="s">
        <v>248</v>
      </c>
      <c r="I27" s="162" t="s">
        <v>45</v>
      </c>
      <c r="J27" s="162" t="s">
        <v>137</v>
      </c>
      <c r="K27" s="162" t="s">
        <v>247</v>
      </c>
      <c r="L27" s="162" t="s">
        <v>48</v>
      </c>
      <c r="M27" s="162" t="s">
        <v>369</v>
      </c>
      <c r="N27" s="162" t="s">
        <v>370</v>
      </c>
      <c r="O27" s="162" t="s">
        <v>99</v>
      </c>
      <c r="P27" s="162" t="s">
        <v>173</v>
      </c>
      <c r="Q27" s="162" t="s">
        <v>173</v>
      </c>
      <c r="R27" s="162" t="s">
        <v>218</v>
      </c>
      <c r="S27" s="162" t="s">
        <v>453</v>
      </c>
      <c r="T27" s="162" t="s">
        <v>369</v>
      </c>
      <c r="U27" s="162" t="s">
        <v>247</v>
      </c>
      <c r="V27" s="162" t="s">
        <v>467</v>
      </c>
      <c r="W27" s="162" t="s">
        <v>45</v>
      </c>
      <c r="X27" s="162" t="s">
        <v>522</v>
      </c>
      <c r="Y27" s="162" t="s">
        <v>565</v>
      </c>
      <c r="Z27" s="162" t="s">
        <v>45</v>
      </c>
      <c r="AA27" s="162" t="s">
        <v>45</v>
      </c>
      <c r="AB27" s="162" t="s">
        <v>45</v>
      </c>
      <c r="AC27" s="162" t="s">
        <v>246</v>
      </c>
      <c r="AD27" s="162" t="s">
        <v>44</v>
      </c>
      <c r="AE27" s="162" t="s">
        <v>246</v>
      </c>
    </row>
    <row r="28" spans="1:31" x14ac:dyDescent="0.25">
      <c r="A28"/>
      <c r="B28" s="224" t="s">
        <v>715</v>
      </c>
      <c r="C28" s="162"/>
      <c r="D28" s="162" t="s">
        <v>70</v>
      </c>
      <c r="E28" s="162" t="s">
        <v>84</v>
      </c>
      <c r="F28" s="162" t="s">
        <v>84</v>
      </c>
      <c r="G28" s="162" t="s">
        <v>70</v>
      </c>
      <c r="H28" s="162" t="s">
        <v>70</v>
      </c>
      <c r="I28" s="162" t="s">
        <v>84</v>
      </c>
      <c r="J28" s="162" t="s">
        <v>84</v>
      </c>
      <c r="K28" s="162" t="s">
        <v>70</v>
      </c>
      <c r="L28" s="162" t="s">
        <v>70</v>
      </c>
      <c r="M28" s="162" t="s">
        <v>70</v>
      </c>
      <c r="N28" s="162" t="s">
        <v>70</v>
      </c>
      <c r="O28" s="162" t="s">
        <v>70</v>
      </c>
      <c r="P28" s="162" t="s">
        <v>84</v>
      </c>
      <c r="Q28" s="162" t="s">
        <v>84</v>
      </c>
      <c r="R28" s="162" t="s">
        <v>84</v>
      </c>
      <c r="S28" s="162" t="s">
        <v>84</v>
      </c>
      <c r="T28" s="162" t="s">
        <v>70</v>
      </c>
      <c r="U28" s="162" t="s">
        <v>70</v>
      </c>
      <c r="V28" s="162" t="s">
        <v>84</v>
      </c>
      <c r="W28" s="162" t="s">
        <v>84</v>
      </c>
      <c r="X28" s="162" t="s">
        <v>84</v>
      </c>
      <c r="Y28" s="162" t="s">
        <v>70</v>
      </c>
      <c r="Z28" s="162" t="s">
        <v>84</v>
      </c>
      <c r="AA28" s="162" t="s">
        <v>84</v>
      </c>
      <c r="AB28" s="162" t="s">
        <v>84</v>
      </c>
      <c r="AC28" s="162" t="s">
        <v>70</v>
      </c>
      <c r="AD28" s="162" t="s">
        <v>70</v>
      </c>
      <c r="AE28" s="162" t="s">
        <v>70</v>
      </c>
    </row>
    <row r="29" spans="1:31" x14ac:dyDescent="0.25">
      <c r="B29" s="226" t="s">
        <v>175</v>
      </c>
      <c r="C29" s="162"/>
      <c r="D29" s="162" t="s">
        <v>44</v>
      </c>
      <c r="E29" s="162" t="s">
        <v>45</v>
      </c>
      <c r="F29" s="162" t="s">
        <v>46</v>
      </c>
      <c r="G29" s="162" t="s">
        <v>246</v>
      </c>
      <c r="H29" s="162" t="s">
        <v>44</v>
      </c>
      <c r="I29" s="162" t="s">
        <v>45</v>
      </c>
      <c r="J29" s="162" t="s">
        <v>140</v>
      </c>
      <c r="K29" s="162" t="s">
        <v>305</v>
      </c>
      <c r="L29" s="162" t="s">
        <v>44</v>
      </c>
      <c r="M29" s="162" t="s">
        <v>409</v>
      </c>
      <c r="N29" s="162" t="s">
        <v>410</v>
      </c>
      <c r="O29" s="162" t="s">
        <v>232</v>
      </c>
      <c r="P29" s="162" t="s">
        <v>173</v>
      </c>
      <c r="Q29" s="162" t="s">
        <v>173</v>
      </c>
      <c r="R29" s="162" t="s">
        <v>218</v>
      </c>
      <c r="S29" s="162" t="s">
        <v>49</v>
      </c>
      <c r="T29" s="162" t="s">
        <v>409</v>
      </c>
      <c r="U29" s="162" t="s">
        <v>305</v>
      </c>
      <c r="V29" s="162" t="s">
        <v>137</v>
      </c>
      <c r="W29" s="162" t="s">
        <v>45</v>
      </c>
      <c r="X29" s="162" t="s">
        <v>46</v>
      </c>
      <c r="Y29" s="162" t="s">
        <v>247</v>
      </c>
      <c r="Z29" s="162" t="s">
        <v>45</v>
      </c>
      <c r="AA29" s="162" t="s">
        <v>45</v>
      </c>
      <c r="AB29" s="162" t="s">
        <v>45</v>
      </c>
      <c r="AC29" s="162" t="s">
        <v>343</v>
      </c>
      <c r="AD29" s="162" t="s">
        <v>246</v>
      </c>
      <c r="AE29" s="162" t="s">
        <v>343</v>
      </c>
    </row>
    <row r="30" spans="1:31" ht="27" x14ac:dyDescent="0.25">
      <c r="A30"/>
      <c r="B30" s="224" t="s">
        <v>167</v>
      </c>
      <c r="C30" s="162"/>
      <c r="D30" s="162" t="s">
        <v>168</v>
      </c>
      <c r="E30" s="162" t="s">
        <v>170</v>
      </c>
      <c r="F30" s="162" t="s">
        <v>171</v>
      </c>
      <c r="G30" s="162" t="s">
        <v>282</v>
      </c>
      <c r="H30" s="162" t="s">
        <v>284</v>
      </c>
      <c r="I30" s="162" t="s">
        <v>283</v>
      </c>
      <c r="J30" s="162" t="s">
        <v>323</v>
      </c>
      <c r="K30" s="162" t="s">
        <v>325</v>
      </c>
      <c r="L30" s="162" t="s">
        <v>326</v>
      </c>
      <c r="M30" s="162" t="s">
        <v>404</v>
      </c>
      <c r="N30" s="162" t="s">
        <v>231</v>
      </c>
      <c r="O30" s="162" t="s">
        <v>231</v>
      </c>
      <c r="P30" s="162" t="s">
        <v>405</v>
      </c>
      <c r="Q30" s="162" t="s">
        <v>405</v>
      </c>
      <c r="R30" s="162" t="s">
        <v>406</v>
      </c>
      <c r="S30" s="162" t="s">
        <v>685</v>
      </c>
      <c r="T30" s="162" t="s">
        <v>404</v>
      </c>
      <c r="U30" s="162" t="s">
        <v>282</v>
      </c>
      <c r="V30" s="162" t="s">
        <v>544</v>
      </c>
      <c r="W30" s="162" t="s">
        <v>170</v>
      </c>
      <c r="X30" s="162" t="s">
        <v>545</v>
      </c>
      <c r="Y30" s="162" t="s">
        <v>592</v>
      </c>
      <c r="Z30" s="162" t="s">
        <v>170</v>
      </c>
      <c r="AA30" s="162" t="s">
        <v>170</v>
      </c>
      <c r="AB30" s="162" t="s">
        <v>170</v>
      </c>
      <c r="AC30" s="162" t="s">
        <v>404</v>
      </c>
      <c r="AD30" s="162" t="s">
        <v>615</v>
      </c>
      <c r="AE30" s="162" t="s">
        <v>616</v>
      </c>
    </row>
    <row r="31" spans="1:31" ht="18" x14ac:dyDescent="0.25">
      <c r="A31"/>
      <c r="B31" s="212" t="s">
        <v>181</v>
      </c>
      <c r="C31" s="162"/>
      <c r="D31" s="162" t="s">
        <v>182</v>
      </c>
      <c r="E31" s="162" t="s">
        <v>184</v>
      </c>
      <c r="F31" s="162" t="s">
        <v>184</v>
      </c>
      <c r="G31" s="162" t="s">
        <v>182</v>
      </c>
      <c r="H31" s="162" t="s">
        <v>182</v>
      </c>
      <c r="I31" s="162" t="s">
        <v>184</v>
      </c>
      <c r="J31" s="162" t="s">
        <v>184</v>
      </c>
      <c r="K31" s="162" t="s">
        <v>182</v>
      </c>
      <c r="L31" s="162" t="s">
        <v>182</v>
      </c>
      <c r="M31" s="162" t="s">
        <v>112</v>
      </c>
      <c r="N31" s="162" t="s">
        <v>112</v>
      </c>
      <c r="O31" s="162" t="s">
        <v>112</v>
      </c>
      <c r="P31" s="162" t="s">
        <v>112</v>
      </c>
      <c r="Q31" s="162" t="s">
        <v>184</v>
      </c>
      <c r="R31" s="162" t="s">
        <v>184</v>
      </c>
      <c r="S31" s="162" t="s">
        <v>184</v>
      </c>
      <c r="T31" s="162" t="s">
        <v>112</v>
      </c>
      <c r="U31" s="162" t="s">
        <v>182</v>
      </c>
      <c r="V31" s="162" t="s">
        <v>184</v>
      </c>
      <c r="W31" s="162" t="s">
        <v>184</v>
      </c>
      <c r="X31" s="162" t="s">
        <v>184</v>
      </c>
      <c r="Y31" s="162" t="s">
        <v>182</v>
      </c>
      <c r="Z31" s="162" t="s">
        <v>184</v>
      </c>
      <c r="AA31" s="162" t="s">
        <v>184</v>
      </c>
      <c r="AB31" s="162" t="s">
        <v>184</v>
      </c>
      <c r="AC31" s="162" t="s">
        <v>182</v>
      </c>
      <c r="AD31" s="162" t="s">
        <v>182</v>
      </c>
      <c r="AE31" s="162" t="s">
        <v>182</v>
      </c>
    </row>
    <row r="32" spans="1:31" x14ac:dyDescent="0.25">
      <c r="A32"/>
      <c r="B32" s="212" t="s">
        <v>186</v>
      </c>
      <c r="C32" s="162"/>
      <c r="D32" s="162" t="s">
        <v>503</v>
      </c>
      <c r="E32" s="162" t="s">
        <v>503</v>
      </c>
      <c r="F32" s="162" t="s">
        <v>503</v>
      </c>
      <c r="G32" s="162" t="s">
        <v>503</v>
      </c>
      <c r="H32" s="162" t="s">
        <v>503</v>
      </c>
      <c r="I32" s="162" t="s">
        <v>503</v>
      </c>
      <c r="J32" s="162" t="s">
        <v>503</v>
      </c>
      <c r="K32" s="162" t="s">
        <v>503</v>
      </c>
      <c r="L32" s="162" t="s">
        <v>503</v>
      </c>
      <c r="M32" s="162" t="s">
        <v>112</v>
      </c>
      <c r="N32" s="162" t="s">
        <v>112</v>
      </c>
      <c r="O32" s="162" t="s">
        <v>112</v>
      </c>
      <c r="P32" s="162" t="s">
        <v>112</v>
      </c>
      <c r="Q32" s="162" t="s">
        <v>503</v>
      </c>
      <c r="R32" s="162" t="s">
        <v>503</v>
      </c>
      <c r="S32" s="162" t="s">
        <v>503</v>
      </c>
      <c r="T32" s="162" t="s">
        <v>112</v>
      </c>
      <c r="U32" s="162" t="s">
        <v>503</v>
      </c>
      <c r="V32" s="162" t="s">
        <v>503</v>
      </c>
      <c r="W32" s="162" t="s">
        <v>503</v>
      </c>
      <c r="X32" s="162" t="s">
        <v>503</v>
      </c>
      <c r="Y32" s="162" t="s">
        <v>503</v>
      </c>
      <c r="Z32" s="162" t="s">
        <v>503</v>
      </c>
      <c r="AA32" s="162" t="s">
        <v>503</v>
      </c>
      <c r="AB32" s="162" t="s">
        <v>503</v>
      </c>
      <c r="AC32" s="162" t="s">
        <v>503</v>
      </c>
      <c r="AD32" s="162" t="s">
        <v>503</v>
      </c>
      <c r="AE32" s="162" t="s">
        <v>503</v>
      </c>
    </row>
    <row r="33" spans="1:31" ht="36" x14ac:dyDescent="0.25">
      <c r="A33"/>
      <c r="B33" s="224" t="s">
        <v>196</v>
      </c>
      <c r="C33" s="162"/>
      <c r="D33" s="162" t="s">
        <v>197</v>
      </c>
      <c r="E33" s="162" t="s">
        <v>200</v>
      </c>
      <c r="F33" s="162" t="s">
        <v>200</v>
      </c>
      <c r="G33" s="162" t="s">
        <v>292</v>
      </c>
      <c r="H33" s="162" t="s">
        <v>292</v>
      </c>
      <c r="I33" s="162" t="s">
        <v>200</v>
      </c>
      <c r="J33" s="162" t="s">
        <v>197</v>
      </c>
      <c r="K33" s="162" t="s">
        <v>197</v>
      </c>
      <c r="L33" s="162" t="s">
        <v>197</v>
      </c>
      <c r="M33" s="162" t="s">
        <v>424</v>
      </c>
      <c r="N33" s="162" t="s">
        <v>426</v>
      </c>
      <c r="O33" s="162" t="s">
        <v>428</v>
      </c>
      <c r="P33" s="162" t="s">
        <v>173</v>
      </c>
      <c r="Q33" s="162" t="s">
        <v>482</v>
      </c>
      <c r="R33" s="162" t="s">
        <v>482</v>
      </c>
      <c r="S33" s="162" t="s">
        <v>482</v>
      </c>
      <c r="T33" s="162" t="s">
        <v>424</v>
      </c>
      <c r="U33" s="162" t="s">
        <v>292</v>
      </c>
      <c r="V33" s="162" t="s">
        <v>197</v>
      </c>
      <c r="W33" s="162" t="s">
        <v>200</v>
      </c>
      <c r="X33" s="162" t="s">
        <v>200</v>
      </c>
      <c r="Y33" s="162" t="s">
        <v>197</v>
      </c>
      <c r="Z33" s="162" t="s">
        <v>691</v>
      </c>
      <c r="AA33" s="162" t="s">
        <v>691</v>
      </c>
      <c r="AB33" s="162" t="s">
        <v>691</v>
      </c>
      <c r="AC33" s="162" t="s">
        <v>292</v>
      </c>
      <c r="AD33" s="162" t="s">
        <v>292</v>
      </c>
      <c r="AE33" s="162" t="s">
        <v>197</v>
      </c>
    </row>
    <row r="34" spans="1:31" ht="18" customHeight="1" x14ac:dyDescent="0.25">
      <c r="A34"/>
      <c r="B34" s="224" t="s">
        <v>172</v>
      </c>
      <c r="C34" s="162"/>
      <c r="D34" s="162" t="s">
        <v>173</v>
      </c>
      <c r="E34" s="162" t="s">
        <v>173</v>
      </c>
      <c r="F34" s="162" t="s">
        <v>173</v>
      </c>
      <c r="G34" s="162" t="s">
        <v>287</v>
      </c>
      <c r="H34" s="162" t="s">
        <v>287</v>
      </c>
      <c r="I34" s="162" t="s">
        <v>173</v>
      </c>
      <c r="J34" s="162" t="s">
        <v>173</v>
      </c>
      <c r="K34" s="162" t="s">
        <v>173</v>
      </c>
      <c r="L34" s="162" t="s">
        <v>173</v>
      </c>
      <c r="M34" s="162" t="s">
        <v>407</v>
      </c>
      <c r="N34" s="162" t="s">
        <v>408</v>
      </c>
      <c r="O34" s="162" t="s">
        <v>45</v>
      </c>
      <c r="P34" s="162" t="s">
        <v>173</v>
      </c>
      <c r="Q34" s="162" t="s">
        <v>173</v>
      </c>
      <c r="R34" s="162" t="s">
        <v>218</v>
      </c>
      <c r="S34" s="162" t="s">
        <v>173</v>
      </c>
      <c r="T34" s="162" t="s">
        <v>407</v>
      </c>
      <c r="U34" s="162" t="s">
        <v>287</v>
      </c>
      <c r="V34" s="162" t="s">
        <v>173</v>
      </c>
      <c r="W34" s="162" t="s">
        <v>173</v>
      </c>
      <c r="X34" s="162" t="s">
        <v>173</v>
      </c>
      <c r="Y34" s="162" t="s">
        <v>173</v>
      </c>
      <c r="Z34" s="162" t="s">
        <v>173</v>
      </c>
      <c r="AA34" s="162" t="s">
        <v>173</v>
      </c>
      <c r="AB34" s="162" t="s">
        <v>173</v>
      </c>
      <c r="AC34" s="162" t="s">
        <v>287</v>
      </c>
      <c r="AD34" s="162" t="s">
        <v>287</v>
      </c>
      <c r="AE34" s="162" t="s">
        <v>173</v>
      </c>
    </row>
    <row r="35" spans="1:31" x14ac:dyDescent="0.25">
      <c r="B35" s="212" t="s">
        <v>663</v>
      </c>
      <c r="C35" s="163"/>
      <c r="D35" s="219" t="s">
        <v>717</v>
      </c>
      <c r="E35" s="219" t="s">
        <v>17</v>
      </c>
      <c r="F35" s="219" t="s">
        <v>17</v>
      </c>
      <c r="G35" s="162" t="s">
        <v>718</v>
      </c>
      <c r="H35" s="162" t="s">
        <v>718</v>
      </c>
      <c r="I35" s="162" t="s">
        <v>17</v>
      </c>
      <c r="J35" s="162" t="s">
        <v>718</v>
      </c>
      <c r="K35" s="162" t="s">
        <v>718</v>
      </c>
      <c r="L35" s="162" t="s">
        <v>718</v>
      </c>
      <c r="M35" s="162" t="s">
        <v>718</v>
      </c>
      <c r="N35" s="162" t="s">
        <v>718</v>
      </c>
      <c r="O35" s="162" t="s">
        <v>718</v>
      </c>
      <c r="P35" s="162" t="s">
        <v>17</v>
      </c>
      <c r="Q35" s="162" t="s">
        <v>17</v>
      </c>
      <c r="R35" s="162" t="s">
        <v>17</v>
      </c>
      <c r="S35" s="162" t="s">
        <v>17</v>
      </c>
      <c r="T35" s="162" t="s">
        <v>718</v>
      </c>
      <c r="U35" s="162" t="s">
        <v>718</v>
      </c>
      <c r="V35" s="162" t="s">
        <v>718</v>
      </c>
      <c r="W35" s="162" t="s">
        <v>17</v>
      </c>
      <c r="X35" s="162" t="s">
        <v>17</v>
      </c>
      <c r="Y35" s="162" t="s">
        <v>718</v>
      </c>
      <c r="Z35" s="162" t="s">
        <v>17</v>
      </c>
      <c r="AA35" s="162" t="s">
        <v>17</v>
      </c>
      <c r="AB35" s="162" t="s">
        <v>17</v>
      </c>
      <c r="AC35" s="162" t="s">
        <v>718</v>
      </c>
      <c r="AD35" s="162" t="s">
        <v>718</v>
      </c>
      <c r="AE35" s="162" t="s">
        <v>718</v>
      </c>
    </row>
    <row r="36" spans="1:31" ht="27.75" thickBot="1" x14ac:dyDescent="0.3">
      <c r="B36" s="223" t="s">
        <v>722</v>
      </c>
      <c r="C36" s="162"/>
      <c r="D36" s="192" t="s">
        <v>111</v>
      </c>
      <c r="E36" s="192" t="s">
        <v>113</v>
      </c>
      <c r="F36" s="192" t="s">
        <v>113</v>
      </c>
      <c r="G36" s="194" t="s">
        <v>262</v>
      </c>
      <c r="H36" s="194" t="s">
        <v>263</v>
      </c>
      <c r="I36" s="203" t="s">
        <v>264</v>
      </c>
      <c r="J36" s="195" t="s">
        <v>315</v>
      </c>
      <c r="K36" s="195" t="s">
        <v>316</v>
      </c>
      <c r="L36" s="195" t="s">
        <v>316</v>
      </c>
      <c r="M36" s="194" t="s">
        <v>375</v>
      </c>
      <c r="N36" s="194" t="s">
        <v>223</v>
      </c>
      <c r="O36" s="194" t="s">
        <v>223</v>
      </c>
      <c r="P36" s="194" t="s">
        <v>376</v>
      </c>
      <c r="Q36" s="196" t="s">
        <v>719</v>
      </c>
      <c r="R36" s="196" t="s">
        <v>720</v>
      </c>
      <c r="S36" s="196" t="s">
        <v>721</v>
      </c>
      <c r="T36" s="194" t="s">
        <v>375</v>
      </c>
      <c r="U36" s="194" t="s">
        <v>315</v>
      </c>
      <c r="V36" s="194" t="s">
        <v>111</v>
      </c>
      <c r="W36" s="194" t="s">
        <v>113</v>
      </c>
      <c r="X36" s="194" t="s">
        <v>113</v>
      </c>
      <c r="Y36" s="197" t="s">
        <v>576</v>
      </c>
      <c r="Z36" s="197" t="s">
        <v>577</v>
      </c>
      <c r="AA36" s="197" t="s">
        <v>577</v>
      </c>
      <c r="AB36" s="197" t="s">
        <v>579</v>
      </c>
      <c r="AC36" s="192" t="s">
        <v>315</v>
      </c>
      <c r="AD36" s="192" t="s">
        <v>315</v>
      </c>
      <c r="AE36" s="192" t="s">
        <v>611</v>
      </c>
    </row>
    <row r="37" spans="1:31" x14ac:dyDescent="0.25">
      <c r="B37" s="166" t="s">
        <v>22</v>
      </c>
      <c r="C37" s="169">
        <v>84</v>
      </c>
      <c r="D37" s="169">
        <v>626.05999999999995</v>
      </c>
      <c r="E37" s="169">
        <v>644.95000000000005</v>
      </c>
      <c r="F37" s="169">
        <v>622.03</v>
      </c>
      <c r="G37" s="169">
        <v>681.83</v>
      </c>
      <c r="H37" s="169">
        <v>695.29</v>
      </c>
      <c r="I37" s="169">
        <v>652.66999999999996</v>
      </c>
      <c r="J37" s="169">
        <v>673.98</v>
      </c>
      <c r="K37" s="169">
        <v>671.85</v>
      </c>
      <c r="L37" s="169">
        <v>654.36</v>
      </c>
      <c r="M37" s="169">
        <v>815.8</v>
      </c>
      <c r="N37" s="169">
        <v>617.86</v>
      </c>
      <c r="O37" s="169">
        <v>706.9</v>
      </c>
      <c r="P37" s="169">
        <v>438.64</v>
      </c>
      <c r="Q37" s="169">
        <v>438.68</v>
      </c>
      <c r="R37" s="169">
        <v>438.93</v>
      </c>
      <c r="S37" s="169">
        <v>439.44</v>
      </c>
      <c r="T37" s="169">
        <v>815.8</v>
      </c>
      <c r="U37" s="169">
        <v>795.26</v>
      </c>
      <c r="V37" s="169">
        <v>555.41999999999996</v>
      </c>
      <c r="W37" s="169">
        <v>557.23</v>
      </c>
      <c r="X37" s="169">
        <v>562.09</v>
      </c>
      <c r="Y37" s="169">
        <v>462.05</v>
      </c>
      <c r="Z37" s="169">
        <v>550.27</v>
      </c>
      <c r="AA37" s="169">
        <v>546.37</v>
      </c>
      <c r="AB37" s="169">
        <v>521.23</v>
      </c>
      <c r="AC37" s="169">
        <v>822.87</v>
      </c>
      <c r="AD37" s="169">
        <v>810.88</v>
      </c>
      <c r="AE37" s="169">
        <v>807.88</v>
      </c>
    </row>
    <row r="38" spans="1:31" ht="18" x14ac:dyDescent="0.25">
      <c r="B38" s="166" t="s">
        <v>23</v>
      </c>
      <c r="C38" s="169">
        <v>126</v>
      </c>
      <c r="D38" s="169">
        <v>1252.1199999999999</v>
      </c>
      <c r="E38" s="169">
        <v>1289.9100000000001</v>
      </c>
      <c r="F38" s="169">
        <v>1244.06</v>
      </c>
      <c r="G38" s="169">
        <v>1363.65</v>
      </c>
      <c r="H38" s="169">
        <v>1390.57</v>
      </c>
      <c r="I38" s="169">
        <v>1305.33</v>
      </c>
      <c r="J38" s="169">
        <v>1347.95</v>
      </c>
      <c r="K38" s="169">
        <v>1343.69</v>
      </c>
      <c r="L38" s="169">
        <v>1308.72</v>
      </c>
      <c r="M38" s="169">
        <v>1631.59</v>
      </c>
      <c r="N38" s="169">
        <v>1235.73</v>
      </c>
      <c r="O38" s="169">
        <v>1413.81</v>
      </c>
      <c r="P38" s="169">
        <v>877.27</v>
      </c>
      <c r="Q38" s="169">
        <v>877.35</v>
      </c>
      <c r="R38" s="169">
        <v>877.87</v>
      </c>
      <c r="S38" s="169">
        <v>878.88</v>
      </c>
      <c r="T38" s="169">
        <v>1631.59</v>
      </c>
      <c r="U38" s="169">
        <v>1590.52</v>
      </c>
      <c r="V38" s="169">
        <v>1110.8399999999999</v>
      </c>
      <c r="W38" s="169">
        <v>1114.47</v>
      </c>
      <c r="X38" s="169">
        <v>1124.18</v>
      </c>
      <c r="Y38" s="169">
        <v>924.1</v>
      </c>
      <c r="Z38" s="169">
        <v>1100.55</v>
      </c>
      <c r="AA38" s="169">
        <v>1092.74</v>
      </c>
      <c r="AB38" s="169">
        <v>1042.46</v>
      </c>
      <c r="AC38" s="169">
        <v>1645.75</v>
      </c>
      <c r="AD38" s="169">
        <v>1621.76</v>
      </c>
      <c r="AE38" s="169">
        <v>1615.76</v>
      </c>
    </row>
    <row r="39" spans="1:31" ht="18" x14ac:dyDescent="0.25">
      <c r="B39" s="167" t="s">
        <v>24</v>
      </c>
      <c r="C39" s="177">
        <v>987</v>
      </c>
      <c r="D39" s="177">
        <v>1064.3</v>
      </c>
      <c r="E39" s="177">
        <v>1096.43</v>
      </c>
      <c r="F39" s="177">
        <v>1057.45</v>
      </c>
      <c r="G39" s="177">
        <v>1159.1099999999999</v>
      </c>
      <c r="H39" s="177">
        <v>1181.99</v>
      </c>
      <c r="I39" s="177">
        <v>1109.53</v>
      </c>
      <c r="J39" s="177">
        <v>1145.76</v>
      </c>
      <c r="K39" s="177">
        <v>1142.1400000000001</v>
      </c>
      <c r="L39" s="177">
        <v>1112.4100000000001</v>
      </c>
      <c r="M39" s="177">
        <v>1386.86</v>
      </c>
      <c r="N39" s="177">
        <v>1050.3699999999999</v>
      </c>
      <c r="O39" s="177">
        <v>1201.74</v>
      </c>
      <c r="P39" s="177">
        <v>745.68</v>
      </c>
      <c r="Q39" s="177">
        <v>745.75</v>
      </c>
      <c r="R39" s="177">
        <v>746.19</v>
      </c>
      <c r="S39" s="177">
        <v>747.05</v>
      </c>
      <c r="T39" s="177">
        <v>1386.86</v>
      </c>
      <c r="U39" s="177">
        <v>1351.94</v>
      </c>
      <c r="V39" s="177">
        <v>944.22</v>
      </c>
      <c r="W39" s="177">
        <v>947.3</v>
      </c>
      <c r="X39" s="177">
        <v>955.56</v>
      </c>
      <c r="Y39" s="177">
        <v>785.49</v>
      </c>
      <c r="Z39" s="177">
        <v>935.46</v>
      </c>
      <c r="AA39" s="177">
        <v>928.82</v>
      </c>
      <c r="AB39" s="177">
        <v>886.09</v>
      </c>
      <c r="AC39" s="177">
        <v>1398.89</v>
      </c>
      <c r="AD39" s="177">
        <v>1378.5</v>
      </c>
      <c r="AE39" s="177">
        <v>1373.4</v>
      </c>
    </row>
    <row r="40" spans="1:31" x14ac:dyDescent="0.25">
      <c r="B40" s="180" t="s">
        <v>25</v>
      </c>
      <c r="C40" s="169">
        <v>359</v>
      </c>
      <c r="D40" s="169">
        <v>1784.28</v>
      </c>
      <c r="E40" s="169">
        <v>1838.12</v>
      </c>
      <c r="F40" s="169">
        <v>1772.78</v>
      </c>
      <c r="G40" s="169">
        <v>1943.21</v>
      </c>
      <c r="H40" s="169">
        <v>1981.57</v>
      </c>
      <c r="I40" s="169">
        <v>1860.1</v>
      </c>
      <c r="J40" s="169">
        <v>1920.84</v>
      </c>
      <c r="K40" s="169">
        <v>1914.76</v>
      </c>
      <c r="L40" s="169">
        <v>1864.92</v>
      </c>
      <c r="M40" s="169">
        <v>2325.02</v>
      </c>
      <c r="N40" s="169">
        <v>1760.92</v>
      </c>
      <c r="O40" s="169">
        <v>2014.67</v>
      </c>
      <c r="P40" s="169">
        <v>1250.1099999999999</v>
      </c>
      <c r="Q40" s="169">
        <v>1250.22</v>
      </c>
      <c r="R40" s="169">
        <v>1250.96</v>
      </c>
      <c r="S40" s="169">
        <v>1252.4000000000001</v>
      </c>
      <c r="T40" s="169">
        <v>2325.02</v>
      </c>
      <c r="U40" s="169">
        <v>2266.4899999999998</v>
      </c>
      <c r="V40" s="169">
        <v>1582.95</v>
      </c>
      <c r="W40" s="169">
        <v>1588.11</v>
      </c>
      <c r="X40" s="169">
        <v>1601.96</v>
      </c>
      <c r="Y40" s="169">
        <v>1316.84</v>
      </c>
      <c r="Z40" s="169">
        <v>1568.29</v>
      </c>
      <c r="AA40" s="169">
        <v>1557.16</v>
      </c>
      <c r="AB40" s="169">
        <v>1485.51</v>
      </c>
      <c r="AC40" s="169">
        <v>2345.19</v>
      </c>
      <c r="AD40" s="169">
        <v>2311.0100000000002</v>
      </c>
      <c r="AE40" s="169">
        <v>2302.4499999999998</v>
      </c>
    </row>
    <row r="41" spans="1:31" x14ac:dyDescent="0.25">
      <c r="A41" s="221"/>
      <c r="B41" s="221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</row>
    <row r="42" spans="1:31" x14ac:dyDescent="0.25">
      <c r="A42" s="221"/>
      <c r="B42" s="221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</row>
    <row r="43" spans="1:31" ht="11.65" customHeight="1" x14ac:dyDescent="0.25">
      <c r="A43" s="188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</row>
    <row r="44" spans="1:31" ht="22.5" customHeight="1" x14ac:dyDescent="0.25">
      <c r="A44" s="186" t="s">
        <v>674</v>
      </c>
      <c r="B44" s="187"/>
      <c r="C44" s="179" t="e">
        <f>(#REF!*C37)+(#REF!*C38)+(#REF!*C39)+(#REF!*C40)</f>
        <v>#REF!</v>
      </c>
      <c r="D44" s="179" t="e">
        <f>(#REF!*D37)+(#REF!*D38)+(#REF!*D39)+(#REF!*D40)</f>
        <v>#REF!</v>
      </c>
      <c r="E44" s="179" t="e">
        <f>(#REF!*E37)+(#REF!*E38)+(#REF!*E39)+(#REF!*E40)</f>
        <v>#REF!</v>
      </c>
      <c r="F44" s="179" t="e">
        <f>(#REF!*F37)+(#REF!*F38)+(#REF!*F39)+(#REF!*F40)</f>
        <v>#REF!</v>
      </c>
      <c r="G44" s="179" t="e">
        <f>(#REF!*G37)+(#REF!*G38)+(#REF!*G39)+(#REF!*G40)</f>
        <v>#REF!</v>
      </c>
      <c r="H44" s="179" t="e">
        <f>(#REF!*H37)+(#REF!*H38)+(#REF!*H39)+(#REF!*H40)</f>
        <v>#REF!</v>
      </c>
      <c r="I44" s="179" t="e">
        <f>(#REF!*I37)+(#REF!*I38)+(#REF!*I39)+(#REF!*I40)</f>
        <v>#REF!</v>
      </c>
      <c r="J44" s="179" t="e">
        <f>(#REF!*J37)+(#REF!*J38)+(#REF!*J39)+(#REF!*J40)</f>
        <v>#REF!</v>
      </c>
      <c r="K44" s="179" t="e">
        <f>(#REF!*K37)+(#REF!*K38)+(#REF!*K39)+(#REF!*K40)</f>
        <v>#REF!</v>
      </c>
      <c r="L44" s="179" t="e">
        <f>(#REF!*L37)+(#REF!*L38)+(#REF!*L39)+(#REF!*L40)</f>
        <v>#REF!</v>
      </c>
      <c r="M44" s="179" t="e">
        <f>(#REF!*M37)+(#REF!*M38)+(#REF!*M39)+(#REF!*M40)</f>
        <v>#REF!</v>
      </c>
      <c r="N44" s="179" t="e">
        <f>(#REF!*N37)+(#REF!*N38)+(#REF!*N39)+(#REF!*N40)</f>
        <v>#REF!</v>
      </c>
      <c r="O44" s="179" t="e">
        <f>(#REF!*O37)+(#REF!*O38)+(#REF!*O39)+(#REF!*O40)</f>
        <v>#REF!</v>
      </c>
      <c r="P44" s="179" t="e">
        <f>(#REF!*P37)+(#REF!*P38)+(#REF!*P39)+(#REF!*P40)</f>
        <v>#REF!</v>
      </c>
      <c r="Q44" s="179" t="e">
        <f>(#REF!*Q37)+(#REF!*Q38)+(#REF!*Q39)+(#REF!*Q40)</f>
        <v>#REF!</v>
      </c>
      <c r="R44" s="179" t="e">
        <f>(#REF!*R37)+(#REF!*R38)+(#REF!*R39)+(#REF!*R40)</f>
        <v>#REF!</v>
      </c>
      <c r="S44" s="179" t="e">
        <f>(#REF!*S37)+(#REF!*S38)+(#REF!*S39)+(#REF!*S40)</f>
        <v>#REF!</v>
      </c>
      <c r="T44" s="179" t="e">
        <f>(#REF!*T37)+(#REF!*T38)+(#REF!*T39)+(#REF!*T40)</f>
        <v>#REF!</v>
      </c>
      <c r="U44" s="179" t="e">
        <f>(#REF!*U37)+(#REF!*U38)+(#REF!*U39)+(#REF!*U40)</f>
        <v>#REF!</v>
      </c>
      <c r="V44" s="179" t="e">
        <f>(#REF!*V37)+(#REF!*V38)+(#REF!*V39)+(#REF!*V40)</f>
        <v>#REF!</v>
      </c>
      <c r="W44" s="179" t="e">
        <f>(#REF!*W37)+(#REF!*W38)+(#REF!*W39)+(#REF!*W40)</f>
        <v>#REF!</v>
      </c>
      <c r="X44" s="179" t="e">
        <f>(#REF!*X37)+(#REF!*X38)+(#REF!*X39)+(#REF!*X40)</f>
        <v>#REF!</v>
      </c>
      <c r="Y44" s="179" t="e">
        <f>(#REF!*Y37)+(#REF!*Y38)+(#REF!*Y39)+(#REF!*Y40)</f>
        <v>#REF!</v>
      </c>
      <c r="Z44" s="179" t="e">
        <f>(#REF!*Z37)+(#REF!*Z38)+(#REF!*Z39)+(#REF!*Z40)</f>
        <v>#REF!</v>
      </c>
      <c r="AA44" s="179" t="e">
        <f>(#REF!*AA37)+(#REF!*AA38)+(#REF!*AA39)+(#REF!*AA40)</f>
        <v>#REF!</v>
      </c>
      <c r="AB44" s="179" t="e">
        <f>(#REF!*AB37)+(#REF!*AB38)+(#REF!*AB39)+(#REF!*AB40)</f>
        <v>#REF!</v>
      </c>
      <c r="AC44" s="179" t="e">
        <f>(#REF!*AC37)+(#REF!*AC38)+(#REF!*AC39)+(#REF!*AC40)</f>
        <v>#REF!</v>
      </c>
      <c r="AD44" s="179" t="e">
        <f>(#REF!*AD37)+(#REF!*AD38)+(#REF!*AD39)+(#REF!*AD40)</f>
        <v>#REF!</v>
      </c>
      <c r="AE44" s="179" t="e">
        <f>(#REF!*AE37)+(#REF!*AE38)+(#REF!*AE39)+(#REF!*AE40)</f>
        <v>#REF!</v>
      </c>
    </row>
    <row r="45" spans="1:31" ht="22.5" customHeight="1" x14ac:dyDescent="0.25">
      <c r="A45" s="186" t="s">
        <v>675</v>
      </c>
      <c r="B45" s="187"/>
      <c r="C45" s="179" t="e">
        <f>C44*12</f>
        <v>#REF!</v>
      </c>
      <c r="D45" s="179" t="e">
        <f t="shared" ref="D45:AD45" si="0">D44*12</f>
        <v>#REF!</v>
      </c>
      <c r="E45" s="179" t="e">
        <f t="shared" si="0"/>
        <v>#REF!</v>
      </c>
      <c r="F45" s="179" t="e">
        <f t="shared" si="0"/>
        <v>#REF!</v>
      </c>
      <c r="G45" s="179" t="e">
        <f t="shared" si="0"/>
        <v>#REF!</v>
      </c>
      <c r="H45" s="179" t="e">
        <f t="shared" si="0"/>
        <v>#REF!</v>
      </c>
      <c r="I45" s="179" t="e">
        <f t="shared" si="0"/>
        <v>#REF!</v>
      </c>
      <c r="J45" s="179" t="e">
        <f t="shared" si="0"/>
        <v>#REF!</v>
      </c>
      <c r="K45" s="179" t="e">
        <f t="shared" si="0"/>
        <v>#REF!</v>
      </c>
      <c r="L45" s="179" t="e">
        <f t="shared" si="0"/>
        <v>#REF!</v>
      </c>
      <c r="M45" s="179" t="e">
        <f t="shared" si="0"/>
        <v>#REF!</v>
      </c>
      <c r="N45" s="179" t="e">
        <f t="shared" si="0"/>
        <v>#REF!</v>
      </c>
      <c r="O45" s="179" t="e">
        <f t="shared" si="0"/>
        <v>#REF!</v>
      </c>
      <c r="P45" s="179" t="e">
        <f t="shared" si="0"/>
        <v>#REF!</v>
      </c>
      <c r="Q45" s="179" t="e">
        <f t="shared" si="0"/>
        <v>#REF!</v>
      </c>
      <c r="R45" s="179" t="e">
        <f t="shared" si="0"/>
        <v>#REF!</v>
      </c>
      <c r="S45" s="179" t="e">
        <f t="shared" si="0"/>
        <v>#REF!</v>
      </c>
      <c r="T45" s="179" t="e">
        <f t="shared" si="0"/>
        <v>#REF!</v>
      </c>
      <c r="U45" s="179" t="e">
        <f t="shared" si="0"/>
        <v>#REF!</v>
      </c>
      <c r="V45" s="179" t="e">
        <f t="shared" si="0"/>
        <v>#REF!</v>
      </c>
      <c r="W45" s="179" t="e">
        <f t="shared" si="0"/>
        <v>#REF!</v>
      </c>
      <c r="X45" s="179" t="e">
        <f t="shared" si="0"/>
        <v>#REF!</v>
      </c>
      <c r="Y45" s="179" t="e">
        <f t="shared" si="0"/>
        <v>#REF!</v>
      </c>
      <c r="Z45" s="179" t="e">
        <f t="shared" si="0"/>
        <v>#REF!</v>
      </c>
      <c r="AA45" s="179" t="e">
        <f t="shared" si="0"/>
        <v>#REF!</v>
      </c>
      <c r="AB45" s="179" t="e">
        <f t="shared" si="0"/>
        <v>#REF!</v>
      </c>
      <c r="AC45" s="179" t="e">
        <f t="shared" si="0"/>
        <v>#REF!</v>
      </c>
      <c r="AD45" s="179" t="e">
        <f t="shared" si="0"/>
        <v>#REF!</v>
      </c>
      <c r="AE45" s="179" t="e">
        <f>AE44*12</f>
        <v>#REF!</v>
      </c>
    </row>
    <row r="46" spans="1:31" ht="8.25" customHeight="1" x14ac:dyDescent="0.25">
      <c r="A46" s="188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</row>
    <row r="47" spans="1:31" ht="20.25" x14ac:dyDescent="0.25">
      <c r="A47" s="218" t="s">
        <v>676</v>
      </c>
      <c r="B47" s="218"/>
      <c r="C47" s="198"/>
      <c r="D47" s="169" t="e">
        <f t="shared" ref="D47:AE47" si="1">D44-$C$44</f>
        <v>#REF!</v>
      </c>
      <c r="E47" s="169" t="e">
        <f t="shared" si="1"/>
        <v>#REF!</v>
      </c>
      <c r="F47" s="169" t="e">
        <f t="shared" si="1"/>
        <v>#REF!</v>
      </c>
      <c r="G47" s="169" t="e">
        <f t="shared" si="1"/>
        <v>#REF!</v>
      </c>
      <c r="H47" s="169" t="e">
        <f t="shared" si="1"/>
        <v>#REF!</v>
      </c>
      <c r="I47" s="169" t="e">
        <f t="shared" si="1"/>
        <v>#REF!</v>
      </c>
      <c r="J47" s="169" t="e">
        <f t="shared" si="1"/>
        <v>#REF!</v>
      </c>
      <c r="K47" s="169" t="e">
        <f t="shared" si="1"/>
        <v>#REF!</v>
      </c>
      <c r="L47" s="169" t="e">
        <f t="shared" si="1"/>
        <v>#REF!</v>
      </c>
      <c r="M47" s="169" t="e">
        <f t="shared" si="1"/>
        <v>#REF!</v>
      </c>
      <c r="N47" s="169" t="e">
        <f t="shared" si="1"/>
        <v>#REF!</v>
      </c>
      <c r="O47" s="169" t="e">
        <f t="shared" si="1"/>
        <v>#REF!</v>
      </c>
      <c r="P47" s="169" t="e">
        <f t="shared" si="1"/>
        <v>#REF!</v>
      </c>
      <c r="Q47" s="169" t="e">
        <f t="shared" si="1"/>
        <v>#REF!</v>
      </c>
      <c r="R47" s="169" t="e">
        <f t="shared" si="1"/>
        <v>#REF!</v>
      </c>
      <c r="S47" s="169" t="e">
        <f t="shared" si="1"/>
        <v>#REF!</v>
      </c>
      <c r="T47" s="169" t="e">
        <f t="shared" si="1"/>
        <v>#REF!</v>
      </c>
      <c r="U47" s="169" t="e">
        <f t="shared" si="1"/>
        <v>#REF!</v>
      </c>
      <c r="V47" s="169" t="e">
        <f t="shared" si="1"/>
        <v>#REF!</v>
      </c>
      <c r="W47" s="169" t="e">
        <f t="shared" si="1"/>
        <v>#REF!</v>
      </c>
      <c r="X47" s="169" t="e">
        <f t="shared" si="1"/>
        <v>#REF!</v>
      </c>
      <c r="Y47" s="169" t="e">
        <f t="shared" si="1"/>
        <v>#REF!</v>
      </c>
      <c r="Z47" s="169" t="e">
        <f t="shared" si="1"/>
        <v>#REF!</v>
      </c>
      <c r="AA47" s="169" t="e">
        <f t="shared" si="1"/>
        <v>#REF!</v>
      </c>
      <c r="AB47" s="169" t="e">
        <f t="shared" si="1"/>
        <v>#REF!</v>
      </c>
      <c r="AC47" s="169" t="e">
        <f t="shared" si="1"/>
        <v>#REF!</v>
      </c>
      <c r="AD47" s="169" t="e">
        <f t="shared" si="1"/>
        <v>#REF!</v>
      </c>
      <c r="AE47" s="169" t="e">
        <f t="shared" si="1"/>
        <v>#REF!</v>
      </c>
    </row>
    <row r="48" spans="1:31" x14ac:dyDescent="0.25">
      <c r="A48" s="218" t="s">
        <v>677</v>
      </c>
      <c r="B48" s="218"/>
      <c r="C48" s="199"/>
      <c r="D48" s="169" t="e">
        <f t="shared" ref="D48:AE48" si="2">D45-$C$45</f>
        <v>#REF!</v>
      </c>
      <c r="E48" s="169" t="e">
        <f t="shared" si="2"/>
        <v>#REF!</v>
      </c>
      <c r="F48" s="169" t="e">
        <f t="shared" si="2"/>
        <v>#REF!</v>
      </c>
      <c r="G48" s="169" t="e">
        <f t="shared" si="2"/>
        <v>#REF!</v>
      </c>
      <c r="H48" s="169" t="e">
        <f t="shared" si="2"/>
        <v>#REF!</v>
      </c>
      <c r="I48" s="169" t="e">
        <f t="shared" si="2"/>
        <v>#REF!</v>
      </c>
      <c r="J48" s="169" t="e">
        <f t="shared" si="2"/>
        <v>#REF!</v>
      </c>
      <c r="K48" s="169" t="e">
        <f t="shared" si="2"/>
        <v>#REF!</v>
      </c>
      <c r="L48" s="169" t="e">
        <f t="shared" si="2"/>
        <v>#REF!</v>
      </c>
      <c r="M48" s="169" t="e">
        <f t="shared" si="2"/>
        <v>#REF!</v>
      </c>
      <c r="N48" s="169" t="e">
        <f t="shared" si="2"/>
        <v>#REF!</v>
      </c>
      <c r="O48" s="169" t="e">
        <f t="shared" si="2"/>
        <v>#REF!</v>
      </c>
      <c r="P48" s="169" t="e">
        <f t="shared" si="2"/>
        <v>#REF!</v>
      </c>
      <c r="Q48" s="169" t="e">
        <f t="shared" si="2"/>
        <v>#REF!</v>
      </c>
      <c r="R48" s="169" t="e">
        <f t="shared" si="2"/>
        <v>#REF!</v>
      </c>
      <c r="S48" s="169" t="e">
        <f t="shared" si="2"/>
        <v>#REF!</v>
      </c>
      <c r="T48" s="169" t="e">
        <f t="shared" si="2"/>
        <v>#REF!</v>
      </c>
      <c r="U48" s="169" t="e">
        <f t="shared" si="2"/>
        <v>#REF!</v>
      </c>
      <c r="V48" s="169" t="e">
        <f t="shared" si="2"/>
        <v>#REF!</v>
      </c>
      <c r="W48" s="169" t="e">
        <f t="shared" si="2"/>
        <v>#REF!</v>
      </c>
      <c r="X48" s="169" t="e">
        <f t="shared" si="2"/>
        <v>#REF!</v>
      </c>
      <c r="Y48" s="169" t="e">
        <f t="shared" si="2"/>
        <v>#REF!</v>
      </c>
      <c r="Z48" s="169" t="e">
        <f t="shared" si="2"/>
        <v>#REF!</v>
      </c>
      <c r="AA48" s="169" t="e">
        <f t="shared" si="2"/>
        <v>#REF!</v>
      </c>
      <c r="AB48" s="169" t="e">
        <f t="shared" si="2"/>
        <v>#REF!</v>
      </c>
      <c r="AC48" s="169" t="e">
        <f t="shared" si="2"/>
        <v>#REF!</v>
      </c>
      <c r="AD48" s="169" t="e">
        <f t="shared" si="2"/>
        <v>#REF!</v>
      </c>
      <c r="AE48" s="169" t="e">
        <f t="shared" si="2"/>
        <v>#REF!</v>
      </c>
    </row>
    <row r="49" spans="1:31" ht="20.25" x14ac:dyDescent="0.25">
      <c r="A49" s="218" t="s">
        <v>678</v>
      </c>
      <c r="B49" s="218"/>
      <c r="C49" s="198"/>
      <c r="D49" s="185" t="e">
        <f t="shared" ref="D49:AE49" si="3">(D44-$C$44)/$C$44</f>
        <v>#REF!</v>
      </c>
      <c r="E49" s="185" t="e">
        <f t="shared" si="3"/>
        <v>#REF!</v>
      </c>
      <c r="F49" s="185" t="e">
        <f t="shared" si="3"/>
        <v>#REF!</v>
      </c>
      <c r="G49" s="185" t="e">
        <f t="shared" si="3"/>
        <v>#REF!</v>
      </c>
      <c r="H49" s="185" t="e">
        <f t="shared" si="3"/>
        <v>#REF!</v>
      </c>
      <c r="I49" s="185" t="e">
        <f t="shared" si="3"/>
        <v>#REF!</v>
      </c>
      <c r="J49" s="185" t="e">
        <f t="shared" si="3"/>
        <v>#REF!</v>
      </c>
      <c r="K49" s="185" t="e">
        <f t="shared" si="3"/>
        <v>#REF!</v>
      </c>
      <c r="L49" s="185" t="e">
        <f t="shared" si="3"/>
        <v>#REF!</v>
      </c>
      <c r="M49" s="185" t="e">
        <f t="shared" si="3"/>
        <v>#REF!</v>
      </c>
      <c r="N49" s="185" t="e">
        <f t="shared" si="3"/>
        <v>#REF!</v>
      </c>
      <c r="O49" s="185" t="e">
        <f t="shared" si="3"/>
        <v>#REF!</v>
      </c>
      <c r="P49" s="185" t="e">
        <f t="shared" si="3"/>
        <v>#REF!</v>
      </c>
      <c r="Q49" s="185" t="e">
        <f t="shared" si="3"/>
        <v>#REF!</v>
      </c>
      <c r="R49" s="185" t="e">
        <f t="shared" si="3"/>
        <v>#REF!</v>
      </c>
      <c r="S49" s="185" t="e">
        <f t="shared" si="3"/>
        <v>#REF!</v>
      </c>
      <c r="T49" s="185" t="e">
        <f t="shared" si="3"/>
        <v>#REF!</v>
      </c>
      <c r="U49" s="185" t="e">
        <f t="shared" si="3"/>
        <v>#REF!</v>
      </c>
      <c r="V49" s="185" t="e">
        <f t="shared" si="3"/>
        <v>#REF!</v>
      </c>
      <c r="W49" s="185" t="e">
        <f t="shared" si="3"/>
        <v>#REF!</v>
      </c>
      <c r="X49" s="185" t="e">
        <f t="shared" si="3"/>
        <v>#REF!</v>
      </c>
      <c r="Y49" s="185" t="e">
        <f t="shared" si="3"/>
        <v>#REF!</v>
      </c>
      <c r="Z49" s="185" t="e">
        <f t="shared" si="3"/>
        <v>#REF!</v>
      </c>
      <c r="AA49" s="185" t="e">
        <f t="shared" si="3"/>
        <v>#REF!</v>
      </c>
      <c r="AB49" s="185" t="e">
        <f t="shared" si="3"/>
        <v>#REF!</v>
      </c>
      <c r="AC49" s="185" t="e">
        <f t="shared" si="3"/>
        <v>#REF!</v>
      </c>
      <c r="AD49" s="185" t="e">
        <f t="shared" si="3"/>
        <v>#REF!</v>
      </c>
      <c r="AE49" s="185" t="e">
        <f t="shared" si="3"/>
        <v>#REF!</v>
      </c>
    </row>
    <row r="50" spans="1:31" ht="20.25" x14ac:dyDescent="0.25">
      <c r="A50" s="210"/>
      <c r="B50" s="210"/>
      <c r="C50" s="200"/>
      <c r="D50" s="201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</row>
    <row r="51" spans="1:31" ht="14.65" customHeight="1" x14ac:dyDescent="0.25"/>
  </sheetData>
  <conditionalFormatting sqref="D47:AE49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O30"/>
  <sheetViews>
    <sheetView workbookViewId="0"/>
  </sheetViews>
  <sheetFormatPr defaultRowHeight="15" x14ac:dyDescent="0.25"/>
  <sheetData>
    <row r="2" spans="2:41" ht="72" x14ac:dyDescent="0.25">
      <c r="B2" s="191" t="s">
        <v>0</v>
      </c>
      <c r="C2" s="175">
        <v>2250</v>
      </c>
      <c r="D2" s="175">
        <v>4500</v>
      </c>
      <c r="E2" s="252" t="s">
        <v>7</v>
      </c>
      <c r="F2" s="175">
        <v>6850</v>
      </c>
      <c r="G2" s="175">
        <v>13700</v>
      </c>
      <c r="H2" s="162" t="s">
        <v>51</v>
      </c>
      <c r="I2" s="190" t="s">
        <v>17</v>
      </c>
      <c r="J2" s="176" t="s">
        <v>70</v>
      </c>
      <c r="K2" s="162" t="s">
        <v>70</v>
      </c>
      <c r="L2" s="162" t="s">
        <v>70</v>
      </c>
      <c r="M2" s="162" t="s">
        <v>70</v>
      </c>
      <c r="N2" s="162" t="s">
        <v>70</v>
      </c>
      <c r="O2" s="162" t="s">
        <v>44</v>
      </c>
      <c r="P2" s="162" t="s">
        <v>48</v>
      </c>
      <c r="Q2" s="162" t="s">
        <v>48</v>
      </c>
      <c r="R2" s="162" t="s">
        <v>48</v>
      </c>
      <c r="S2" s="162" t="s">
        <v>44</v>
      </c>
      <c r="T2" s="162" t="s">
        <v>132</v>
      </c>
      <c r="U2" s="162" t="s">
        <v>132</v>
      </c>
      <c r="V2" s="192" t="s">
        <v>119</v>
      </c>
      <c r="W2" s="162" t="s">
        <v>104</v>
      </c>
      <c r="X2" s="248" t="s">
        <v>87</v>
      </c>
      <c r="Y2" s="162" t="s">
        <v>146</v>
      </c>
      <c r="Z2" s="162" t="s">
        <v>148</v>
      </c>
      <c r="AA2" s="162" t="s">
        <v>44</v>
      </c>
      <c r="AB2" s="162" t="s">
        <v>48</v>
      </c>
      <c r="AC2" s="162" t="s">
        <v>70</v>
      </c>
      <c r="AD2" s="162" t="s">
        <v>44</v>
      </c>
      <c r="AE2" s="162" t="s">
        <v>168</v>
      </c>
      <c r="AF2" s="162" t="s">
        <v>182</v>
      </c>
      <c r="AG2" s="162" t="s">
        <v>503</v>
      </c>
      <c r="AH2" s="162" t="s">
        <v>197</v>
      </c>
      <c r="AI2" s="162" t="s">
        <v>173</v>
      </c>
      <c r="AJ2" s="219" t="s">
        <v>717</v>
      </c>
      <c r="AK2" s="192" t="s">
        <v>111</v>
      </c>
      <c r="AL2" s="169">
        <v>626.05999999999995</v>
      </c>
      <c r="AM2" s="169">
        <v>1252.1199999999999</v>
      </c>
      <c r="AN2" s="177">
        <v>1064.3</v>
      </c>
      <c r="AO2" s="169">
        <v>1784.28</v>
      </c>
    </row>
    <row r="3" spans="2:41" ht="153" x14ac:dyDescent="0.25">
      <c r="B3" s="191" t="s">
        <v>1</v>
      </c>
      <c r="C3" s="175">
        <v>1800</v>
      </c>
      <c r="D3" s="175">
        <v>3600</v>
      </c>
      <c r="E3" s="252" t="s">
        <v>8</v>
      </c>
      <c r="F3" s="175">
        <v>3600</v>
      </c>
      <c r="G3" s="175">
        <v>7200</v>
      </c>
      <c r="H3" s="162" t="s">
        <v>51</v>
      </c>
      <c r="I3" s="190" t="s">
        <v>17</v>
      </c>
      <c r="J3" s="176" t="s">
        <v>70</v>
      </c>
      <c r="K3" s="162" t="s">
        <v>70</v>
      </c>
      <c r="L3" s="162" t="s">
        <v>70</v>
      </c>
      <c r="M3" s="162" t="s">
        <v>70</v>
      </c>
      <c r="N3" s="162" t="s">
        <v>70</v>
      </c>
      <c r="O3" s="162" t="s">
        <v>45</v>
      </c>
      <c r="P3" s="162" t="s">
        <v>45</v>
      </c>
      <c r="Q3" s="162" t="s">
        <v>45</v>
      </c>
      <c r="R3" s="162" t="s">
        <v>45</v>
      </c>
      <c r="S3" s="162" t="s">
        <v>45</v>
      </c>
      <c r="T3" s="162" t="s">
        <v>45</v>
      </c>
      <c r="U3" s="162" t="s">
        <v>45</v>
      </c>
      <c r="V3" s="192" t="s">
        <v>119</v>
      </c>
      <c r="W3" s="162" t="s">
        <v>104</v>
      </c>
      <c r="X3" s="248" t="s">
        <v>89</v>
      </c>
      <c r="Y3" s="162" t="s">
        <v>146</v>
      </c>
      <c r="Z3" s="162" t="s">
        <v>45</v>
      </c>
      <c r="AA3" s="162" t="s">
        <v>45</v>
      </c>
      <c r="AB3" s="162" t="s">
        <v>45</v>
      </c>
      <c r="AC3" s="162" t="s">
        <v>84</v>
      </c>
      <c r="AD3" s="162" t="s">
        <v>45</v>
      </c>
      <c r="AE3" s="162" t="s">
        <v>170</v>
      </c>
      <c r="AF3" s="162" t="s">
        <v>184</v>
      </c>
      <c r="AG3" s="162" t="s">
        <v>503</v>
      </c>
      <c r="AH3" s="162" t="s">
        <v>200</v>
      </c>
      <c r="AI3" s="162" t="s">
        <v>173</v>
      </c>
      <c r="AJ3" s="219" t="s">
        <v>17</v>
      </c>
      <c r="AK3" s="192" t="s">
        <v>113</v>
      </c>
      <c r="AL3" s="169">
        <v>644.95000000000005</v>
      </c>
      <c r="AM3" s="169">
        <v>1289.9100000000001</v>
      </c>
      <c r="AN3" s="177">
        <v>1096.43</v>
      </c>
      <c r="AO3" s="169">
        <v>1838.12</v>
      </c>
    </row>
    <row r="4" spans="2:41" ht="153" x14ac:dyDescent="0.25">
      <c r="B4" s="191" t="s">
        <v>2</v>
      </c>
      <c r="C4" s="175">
        <v>2000</v>
      </c>
      <c r="D4" s="175">
        <v>4000</v>
      </c>
      <c r="E4" s="252" t="s">
        <v>8</v>
      </c>
      <c r="F4" s="175">
        <v>6000</v>
      </c>
      <c r="G4" s="175">
        <v>12000</v>
      </c>
      <c r="H4" s="162" t="s">
        <v>53</v>
      </c>
      <c r="I4" s="190" t="s">
        <v>17</v>
      </c>
      <c r="J4" s="176" t="s">
        <v>70</v>
      </c>
      <c r="K4" s="162" t="s">
        <v>70</v>
      </c>
      <c r="L4" s="162" t="s">
        <v>70</v>
      </c>
      <c r="M4" s="162" t="s">
        <v>70</v>
      </c>
      <c r="N4" s="162" t="s">
        <v>70</v>
      </c>
      <c r="O4" s="162" t="s">
        <v>46</v>
      </c>
      <c r="P4" s="162" t="s">
        <v>49</v>
      </c>
      <c r="Q4" s="162" t="s">
        <v>49</v>
      </c>
      <c r="R4" s="162" t="s">
        <v>49</v>
      </c>
      <c r="S4" s="162" t="s">
        <v>140</v>
      </c>
      <c r="T4" s="162" t="s">
        <v>133</v>
      </c>
      <c r="U4" s="162" t="s">
        <v>133</v>
      </c>
      <c r="V4" s="192" t="s">
        <v>121</v>
      </c>
      <c r="W4" s="162" t="s">
        <v>104</v>
      </c>
      <c r="X4" s="248" t="s">
        <v>90</v>
      </c>
      <c r="Y4" s="162" t="s">
        <v>121</v>
      </c>
      <c r="Z4" s="162" t="s">
        <v>140</v>
      </c>
      <c r="AA4" s="162" t="s">
        <v>99</v>
      </c>
      <c r="AB4" s="162" t="s">
        <v>101</v>
      </c>
      <c r="AC4" s="162" t="s">
        <v>84</v>
      </c>
      <c r="AD4" s="162" t="s">
        <v>46</v>
      </c>
      <c r="AE4" s="162" t="s">
        <v>171</v>
      </c>
      <c r="AF4" s="162" t="s">
        <v>184</v>
      </c>
      <c r="AG4" s="162" t="s">
        <v>503</v>
      </c>
      <c r="AH4" s="162" t="s">
        <v>200</v>
      </c>
      <c r="AI4" s="162" t="s">
        <v>173</v>
      </c>
      <c r="AJ4" s="219" t="s">
        <v>17</v>
      </c>
      <c r="AK4" s="192" t="s">
        <v>113</v>
      </c>
      <c r="AL4" s="169">
        <v>622.03</v>
      </c>
      <c r="AM4" s="169">
        <v>1244.06</v>
      </c>
      <c r="AN4" s="177">
        <v>1057.45</v>
      </c>
      <c r="AO4" s="169">
        <v>1772.78</v>
      </c>
    </row>
    <row r="5" spans="2:41" ht="72" x14ac:dyDescent="0.25">
      <c r="B5" s="191" t="s">
        <v>238</v>
      </c>
      <c r="C5" s="162" t="s">
        <v>66</v>
      </c>
      <c r="D5" s="162" t="s">
        <v>66</v>
      </c>
      <c r="E5" s="250" t="s">
        <v>7</v>
      </c>
      <c r="F5" s="175">
        <v>7900</v>
      </c>
      <c r="G5" s="175">
        <v>15800</v>
      </c>
      <c r="H5" s="162" t="s">
        <v>66</v>
      </c>
      <c r="I5" s="190" t="s">
        <v>17</v>
      </c>
      <c r="J5" s="176" t="s">
        <v>70</v>
      </c>
      <c r="K5" s="162" t="s">
        <v>70</v>
      </c>
      <c r="L5" s="162" t="s">
        <v>70</v>
      </c>
      <c r="M5" s="162" t="s">
        <v>70</v>
      </c>
      <c r="N5" s="162" t="s">
        <v>70</v>
      </c>
      <c r="O5" s="162" t="s">
        <v>246</v>
      </c>
      <c r="P5" s="162" t="s">
        <v>247</v>
      </c>
      <c r="Q5" s="162" t="s">
        <v>247</v>
      </c>
      <c r="R5" s="162" t="s">
        <v>247</v>
      </c>
      <c r="S5" s="162" t="s">
        <v>247</v>
      </c>
      <c r="T5" s="162" t="s">
        <v>270</v>
      </c>
      <c r="U5" s="162" t="s">
        <v>272</v>
      </c>
      <c r="V5" s="192" t="s">
        <v>266</v>
      </c>
      <c r="W5" s="162" t="s">
        <v>104</v>
      </c>
      <c r="X5" s="249" t="s">
        <v>87</v>
      </c>
      <c r="Y5" s="162" t="s">
        <v>266</v>
      </c>
      <c r="Z5" s="162" t="s">
        <v>274</v>
      </c>
      <c r="AA5" s="162" t="s">
        <v>246</v>
      </c>
      <c r="AB5" s="162" t="s">
        <v>247</v>
      </c>
      <c r="AC5" s="162" t="s">
        <v>70</v>
      </c>
      <c r="AD5" s="162" t="s">
        <v>246</v>
      </c>
      <c r="AE5" s="162" t="s">
        <v>282</v>
      </c>
      <c r="AF5" s="162" t="s">
        <v>182</v>
      </c>
      <c r="AG5" s="162" t="s">
        <v>503</v>
      </c>
      <c r="AH5" s="162" t="s">
        <v>292</v>
      </c>
      <c r="AI5" s="162" t="s">
        <v>287</v>
      </c>
      <c r="AJ5" s="162" t="s">
        <v>718</v>
      </c>
      <c r="AK5" s="194" t="s">
        <v>262</v>
      </c>
      <c r="AL5" s="169">
        <v>681.83</v>
      </c>
      <c r="AM5" s="169">
        <v>1363.65</v>
      </c>
      <c r="AN5" s="177">
        <v>1159.1099999999999</v>
      </c>
      <c r="AO5" s="169">
        <v>1943.21</v>
      </c>
    </row>
    <row r="6" spans="2:41" ht="72" x14ac:dyDescent="0.25">
      <c r="B6" s="191" t="s">
        <v>239</v>
      </c>
      <c r="C6" s="162" t="s">
        <v>66</v>
      </c>
      <c r="D6" s="162" t="s">
        <v>66</v>
      </c>
      <c r="E6" s="251" t="s">
        <v>7</v>
      </c>
      <c r="F6" s="175">
        <v>8000</v>
      </c>
      <c r="G6" s="175">
        <v>16000</v>
      </c>
      <c r="H6" s="162" t="s">
        <v>66</v>
      </c>
      <c r="I6" s="190" t="s">
        <v>17</v>
      </c>
      <c r="J6" s="176" t="s">
        <v>70</v>
      </c>
      <c r="K6" s="162" t="s">
        <v>70</v>
      </c>
      <c r="L6" s="162" t="s">
        <v>70</v>
      </c>
      <c r="M6" s="162" t="s">
        <v>70</v>
      </c>
      <c r="N6" s="162" t="s">
        <v>70</v>
      </c>
      <c r="O6" s="162" t="s">
        <v>44</v>
      </c>
      <c r="P6" s="162" t="s">
        <v>248</v>
      </c>
      <c r="Q6" s="162" t="s">
        <v>248</v>
      </c>
      <c r="R6" s="162" t="s">
        <v>248</v>
      </c>
      <c r="S6" s="162" t="s">
        <v>44</v>
      </c>
      <c r="T6" s="162" t="s">
        <v>271</v>
      </c>
      <c r="U6" s="162" t="s">
        <v>273</v>
      </c>
      <c r="V6" s="192" t="s">
        <v>266</v>
      </c>
      <c r="W6" s="162" t="s">
        <v>104</v>
      </c>
      <c r="X6" s="249" t="s">
        <v>87</v>
      </c>
      <c r="Y6" s="162" t="s">
        <v>266</v>
      </c>
      <c r="Z6" s="162" t="s">
        <v>148</v>
      </c>
      <c r="AA6" s="162" t="s">
        <v>44</v>
      </c>
      <c r="AB6" s="162" t="s">
        <v>248</v>
      </c>
      <c r="AC6" s="162" t="s">
        <v>70</v>
      </c>
      <c r="AD6" s="162" t="s">
        <v>44</v>
      </c>
      <c r="AE6" s="162" t="s">
        <v>284</v>
      </c>
      <c r="AF6" s="162" t="s">
        <v>182</v>
      </c>
      <c r="AG6" s="162" t="s">
        <v>503</v>
      </c>
      <c r="AH6" s="162" t="s">
        <v>292</v>
      </c>
      <c r="AI6" s="162" t="s">
        <v>287</v>
      </c>
      <c r="AJ6" s="162" t="s">
        <v>718</v>
      </c>
      <c r="AK6" s="194" t="s">
        <v>263</v>
      </c>
      <c r="AL6" s="169">
        <v>695.29</v>
      </c>
      <c r="AM6" s="169">
        <v>1390.57</v>
      </c>
      <c r="AN6" s="177">
        <v>1181.99</v>
      </c>
      <c r="AO6" s="169">
        <v>1981.57</v>
      </c>
    </row>
    <row r="7" spans="2:41" ht="153" x14ac:dyDescent="0.25">
      <c r="B7" s="191" t="s">
        <v>240</v>
      </c>
      <c r="C7" s="175">
        <v>1600</v>
      </c>
      <c r="D7" s="175">
        <v>3200</v>
      </c>
      <c r="E7" s="250" t="s">
        <v>8</v>
      </c>
      <c r="F7" s="175">
        <v>3200</v>
      </c>
      <c r="G7" s="175">
        <v>6400</v>
      </c>
      <c r="H7" s="162" t="s">
        <v>51</v>
      </c>
      <c r="I7" s="190" t="s">
        <v>17</v>
      </c>
      <c r="J7" s="176" t="s">
        <v>70</v>
      </c>
      <c r="K7" s="162" t="s">
        <v>70</v>
      </c>
      <c r="L7" s="162" t="s">
        <v>70</v>
      </c>
      <c r="M7" s="162" t="s">
        <v>70</v>
      </c>
      <c r="N7" s="162" t="s">
        <v>70</v>
      </c>
      <c r="O7" s="162" t="s">
        <v>45</v>
      </c>
      <c r="P7" s="162" t="s">
        <v>45</v>
      </c>
      <c r="Q7" s="162" t="s">
        <v>45</v>
      </c>
      <c r="R7" s="162" t="s">
        <v>45</v>
      </c>
      <c r="S7" s="162" t="s">
        <v>89</v>
      </c>
      <c r="T7" s="162" t="s">
        <v>45</v>
      </c>
      <c r="U7" s="162" t="s">
        <v>45</v>
      </c>
      <c r="V7" s="192" t="s">
        <v>119</v>
      </c>
      <c r="W7" s="162" t="s">
        <v>104</v>
      </c>
      <c r="X7" s="249" t="s">
        <v>45</v>
      </c>
      <c r="Y7" s="162" t="s">
        <v>146</v>
      </c>
      <c r="Z7" s="162" t="s">
        <v>45</v>
      </c>
      <c r="AA7" s="162" t="s">
        <v>45</v>
      </c>
      <c r="AB7" s="162" t="s">
        <v>45</v>
      </c>
      <c r="AC7" s="162" t="s">
        <v>84</v>
      </c>
      <c r="AD7" s="162" t="s">
        <v>45</v>
      </c>
      <c r="AE7" s="162" t="s">
        <v>283</v>
      </c>
      <c r="AF7" s="162" t="s">
        <v>184</v>
      </c>
      <c r="AG7" s="162" t="s">
        <v>503</v>
      </c>
      <c r="AH7" s="162" t="s">
        <v>200</v>
      </c>
      <c r="AI7" s="162" t="s">
        <v>173</v>
      </c>
      <c r="AJ7" s="162" t="s">
        <v>17</v>
      </c>
      <c r="AK7" s="203" t="s">
        <v>264</v>
      </c>
      <c r="AL7" s="169">
        <v>652.66999999999996</v>
      </c>
      <c r="AM7" s="169">
        <v>1305.33</v>
      </c>
      <c r="AN7" s="177">
        <v>1109.53</v>
      </c>
      <c r="AO7" s="169">
        <v>1860.1</v>
      </c>
    </row>
    <row r="8" spans="2:41" ht="81" x14ac:dyDescent="0.25">
      <c r="B8" s="191" t="s">
        <v>299</v>
      </c>
      <c r="C8" s="175">
        <v>1000</v>
      </c>
      <c r="D8" s="175">
        <v>2000</v>
      </c>
      <c r="E8" s="253" t="s">
        <v>7</v>
      </c>
      <c r="F8" s="175">
        <v>5500</v>
      </c>
      <c r="G8" s="175">
        <v>11000</v>
      </c>
      <c r="H8" s="162" t="s">
        <v>51</v>
      </c>
      <c r="I8" s="190" t="s">
        <v>17</v>
      </c>
      <c r="J8" s="176" t="s">
        <v>70</v>
      </c>
      <c r="K8" s="162" t="s">
        <v>70</v>
      </c>
      <c r="L8" s="162" t="s">
        <v>70</v>
      </c>
      <c r="M8" s="162" t="s">
        <v>70</v>
      </c>
      <c r="N8" s="162" t="s">
        <v>70</v>
      </c>
      <c r="O8" s="162" t="s">
        <v>46</v>
      </c>
      <c r="P8" s="162" t="s">
        <v>49</v>
      </c>
      <c r="Q8" s="162" t="s">
        <v>49</v>
      </c>
      <c r="R8" s="162" t="s">
        <v>137</v>
      </c>
      <c r="S8" s="162" t="s">
        <v>140</v>
      </c>
      <c r="T8" s="162" t="s">
        <v>319</v>
      </c>
      <c r="U8" s="162" t="s">
        <v>319</v>
      </c>
      <c r="V8" s="192" t="s">
        <v>119</v>
      </c>
      <c r="W8" s="162" t="s">
        <v>104</v>
      </c>
      <c r="X8" s="249" t="s">
        <v>139</v>
      </c>
      <c r="Y8" s="162" t="s">
        <v>146</v>
      </c>
      <c r="Z8" s="162" t="s">
        <v>321</v>
      </c>
      <c r="AA8" s="162" t="s">
        <v>99</v>
      </c>
      <c r="AB8" s="162" t="s">
        <v>137</v>
      </c>
      <c r="AC8" s="162" t="s">
        <v>84</v>
      </c>
      <c r="AD8" s="162" t="s">
        <v>140</v>
      </c>
      <c r="AE8" s="162" t="s">
        <v>323</v>
      </c>
      <c r="AF8" s="162" t="s">
        <v>184</v>
      </c>
      <c r="AG8" s="162" t="s">
        <v>503</v>
      </c>
      <c r="AH8" s="162" t="s">
        <v>197</v>
      </c>
      <c r="AI8" s="162" t="s">
        <v>173</v>
      </c>
      <c r="AJ8" s="162" t="s">
        <v>718</v>
      </c>
      <c r="AK8" s="195" t="s">
        <v>315</v>
      </c>
      <c r="AL8" s="169">
        <v>673.98</v>
      </c>
      <c r="AM8" s="169">
        <v>1347.95</v>
      </c>
      <c r="AN8" s="177">
        <v>1145.76</v>
      </c>
      <c r="AO8" s="169">
        <v>1920.84</v>
      </c>
    </row>
    <row r="9" spans="2:41" ht="63" x14ac:dyDescent="0.25">
      <c r="B9" s="191" t="s">
        <v>300</v>
      </c>
      <c r="C9" s="175">
        <v>1000</v>
      </c>
      <c r="D9" s="175">
        <v>2000</v>
      </c>
      <c r="E9" s="254" t="s">
        <v>7</v>
      </c>
      <c r="F9" s="175">
        <v>8150</v>
      </c>
      <c r="G9" s="175">
        <v>16300</v>
      </c>
      <c r="H9" s="162" t="s">
        <v>51</v>
      </c>
      <c r="I9" s="190" t="s">
        <v>17</v>
      </c>
      <c r="J9" s="176" t="s">
        <v>70</v>
      </c>
      <c r="K9" s="162" t="s">
        <v>70</v>
      </c>
      <c r="L9" s="162" t="s">
        <v>70</v>
      </c>
      <c r="M9" s="162" t="s">
        <v>70</v>
      </c>
      <c r="N9" s="162" t="s">
        <v>70</v>
      </c>
      <c r="O9" s="162" t="s">
        <v>305</v>
      </c>
      <c r="P9" s="162" t="s">
        <v>247</v>
      </c>
      <c r="Q9" s="162" t="s">
        <v>247</v>
      </c>
      <c r="R9" s="162" t="s">
        <v>247</v>
      </c>
      <c r="S9" s="162" t="s">
        <v>305</v>
      </c>
      <c r="T9" s="162" t="s">
        <v>320</v>
      </c>
      <c r="U9" s="162" t="s">
        <v>320</v>
      </c>
      <c r="V9" s="192" t="s">
        <v>119</v>
      </c>
      <c r="W9" s="162" t="s">
        <v>104</v>
      </c>
      <c r="X9" s="249" t="s">
        <v>87</v>
      </c>
      <c r="Y9" s="162" t="s">
        <v>146</v>
      </c>
      <c r="Z9" s="162" t="s">
        <v>322</v>
      </c>
      <c r="AA9" s="162" t="s">
        <v>305</v>
      </c>
      <c r="AB9" s="162" t="s">
        <v>247</v>
      </c>
      <c r="AC9" s="162" t="s">
        <v>70</v>
      </c>
      <c r="AD9" s="162" t="s">
        <v>305</v>
      </c>
      <c r="AE9" s="162" t="s">
        <v>325</v>
      </c>
      <c r="AF9" s="162" t="s">
        <v>182</v>
      </c>
      <c r="AG9" s="162" t="s">
        <v>503</v>
      </c>
      <c r="AH9" s="162" t="s">
        <v>197</v>
      </c>
      <c r="AI9" s="162" t="s">
        <v>173</v>
      </c>
      <c r="AJ9" s="162" t="s">
        <v>718</v>
      </c>
      <c r="AK9" s="195" t="s">
        <v>316</v>
      </c>
      <c r="AL9" s="169">
        <v>671.85</v>
      </c>
      <c r="AM9" s="169">
        <v>1343.69</v>
      </c>
      <c r="AN9" s="177">
        <v>1142.1400000000001</v>
      </c>
      <c r="AO9" s="169">
        <v>1914.76</v>
      </c>
    </row>
    <row r="10" spans="2:41" s="235" customFormat="1" ht="63" x14ac:dyDescent="0.25">
      <c r="B10" s="227" t="s">
        <v>301</v>
      </c>
      <c r="C10" s="228">
        <v>1100</v>
      </c>
      <c r="D10" s="228">
        <v>2200</v>
      </c>
      <c r="E10" s="253" t="s">
        <v>7</v>
      </c>
      <c r="F10" s="228">
        <v>8250</v>
      </c>
      <c r="G10" s="228">
        <v>16500</v>
      </c>
      <c r="H10" s="229" t="s">
        <v>51</v>
      </c>
      <c r="I10" s="190" t="s">
        <v>17</v>
      </c>
      <c r="J10" s="230" t="s">
        <v>70</v>
      </c>
      <c r="K10" s="229" t="s">
        <v>70</v>
      </c>
      <c r="L10" s="229" t="s">
        <v>70</v>
      </c>
      <c r="M10" s="229" t="s">
        <v>70</v>
      </c>
      <c r="N10" s="229" t="s">
        <v>70</v>
      </c>
      <c r="O10" s="229" t="s">
        <v>44</v>
      </c>
      <c r="P10" s="229" t="s">
        <v>48</v>
      </c>
      <c r="Q10" s="229" t="s">
        <v>48</v>
      </c>
      <c r="R10" s="229" t="s">
        <v>48</v>
      </c>
      <c r="S10" s="229" t="s">
        <v>44</v>
      </c>
      <c r="T10" s="229" t="s">
        <v>320</v>
      </c>
      <c r="U10" s="229" t="s">
        <v>320</v>
      </c>
      <c r="V10" s="231" t="s">
        <v>119</v>
      </c>
      <c r="W10" s="229" t="s">
        <v>104</v>
      </c>
      <c r="X10" s="249" t="s">
        <v>87</v>
      </c>
      <c r="Y10" s="229" t="s">
        <v>146</v>
      </c>
      <c r="Z10" s="229" t="s">
        <v>148</v>
      </c>
      <c r="AA10" s="229" t="s">
        <v>44</v>
      </c>
      <c r="AB10" s="229" t="s">
        <v>48</v>
      </c>
      <c r="AC10" s="229" t="s">
        <v>70</v>
      </c>
      <c r="AD10" s="229" t="s">
        <v>44</v>
      </c>
      <c r="AE10" s="229" t="s">
        <v>326</v>
      </c>
      <c r="AF10" s="229" t="s">
        <v>182</v>
      </c>
      <c r="AG10" s="229" t="s">
        <v>503</v>
      </c>
      <c r="AH10" s="229" t="s">
        <v>197</v>
      </c>
      <c r="AI10" s="229" t="s">
        <v>173</v>
      </c>
      <c r="AJ10" s="229" t="s">
        <v>718</v>
      </c>
      <c r="AK10" s="232" t="s">
        <v>316</v>
      </c>
      <c r="AL10" s="233">
        <v>654.36</v>
      </c>
      <c r="AM10" s="233">
        <v>1308.72</v>
      </c>
      <c r="AN10" s="234">
        <v>1112.4100000000001</v>
      </c>
      <c r="AO10" s="233">
        <v>1864.92</v>
      </c>
    </row>
    <row r="11" spans="2:41" ht="72" x14ac:dyDescent="0.25">
      <c r="B11" s="191" t="s">
        <v>332</v>
      </c>
      <c r="C11" s="162" t="s">
        <v>66</v>
      </c>
      <c r="D11" s="162" t="s">
        <v>66</v>
      </c>
      <c r="E11" s="255" t="s">
        <v>7</v>
      </c>
      <c r="F11" s="175">
        <v>2000</v>
      </c>
      <c r="G11" s="175">
        <v>4000</v>
      </c>
      <c r="H11" s="162" t="s">
        <v>66</v>
      </c>
      <c r="I11" s="190" t="s">
        <v>17</v>
      </c>
      <c r="J11" s="176" t="s">
        <v>70</v>
      </c>
      <c r="K11" s="162" t="s">
        <v>70</v>
      </c>
      <c r="L11" s="162" t="s">
        <v>70</v>
      </c>
      <c r="M11" s="162" t="s">
        <v>70</v>
      </c>
      <c r="N11" s="162" t="s">
        <v>70</v>
      </c>
      <c r="O11" s="162" t="s">
        <v>343</v>
      </c>
      <c r="P11" s="162" t="s">
        <v>345</v>
      </c>
      <c r="Q11" s="162" t="s">
        <v>388</v>
      </c>
      <c r="R11" s="162" t="s">
        <v>364</v>
      </c>
      <c r="S11" s="162" t="s">
        <v>364</v>
      </c>
      <c r="T11" s="162" t="s">
        <v>87</v>
      </c>
      <c r="U11" s="162" t="s">
        <v>87</v>
      </c>
      <c r="V11" s="192" t="s">
        <v>379</v>
      </c>
      <c r="W11" s="162" t="s">
        <v>104</v>
      </c>
      <c r="X11" s="249" t="s">
        <v>345</v>
      </c>
      <c r="Y11" s="162" t="s">
        <v>379</v>
      </c>
      <c r="Z11" s="162" t="s">
        <v>343</v>
      </c>
      <c r="AA11" s="162" t="s">
        <v>369</v>
      </c>
      <c r="AB11" s="162" t="s">
        <v>369</v>
      </c>
      <c r="AC11" s="162" t="s">
        <v>70</v>
      </c>
      <c r="AD11" s="162" t="s">
        <v>409</v>
      </c>
      <c r="AE11" s="162" t="s">
        <v>404</v>
      </c>
      <c r="AF11" s="162" t="s">
        <v>112</v>
      </c>
      <c r="AG11" s="162" t="s">
        <v>112</v>
      </c>
      <c r="AH11" s="162" t="s">
        <v>424</v>
      </c>
      <c r="AI11" s="162" t="s">
        <v>407</v>
      </c>
      <c r="AJ11" s="162" t="s">
        <v>718</v>
      </c>
      <c r="AK11" s="194" t="s">
        <v>375</v>
      </c>
      <c r="AL11" s="169">
        <v>815.8</v>
      </c>
      <c r="AM11" s="169">
        <v>1631.59</v>
      </c>
      <c r="AN11" s="177">
        <v>1386.86</v>
      </c>
      <c r="AO11" s="169">
        <v>2325.02</v>
      </c>
    </row>
    <row r="12" spans="2:41" ht="90" x14ac:dyDescent="0.25">
      <c r="B12" s="191" t="s">
        <v>333</v>
      </c>
      <c r="C12" s="175">
        <v>1300</v>
      </c>
      <c r="D12" s="175">
        <v>2600</v>
      </c>
      <c r="E12" s="256" t="s">
        <v>7</v>
      </c>
      <c r="F12" s="175">
        <v>8500</v>
      </c>
      <c r="G12" s="175">
        <v>17000</v>
      </c>
      <c r="H12" s="162" t="s">
        <v>53</v>
      </c>
      <c r="I12" s="190" t="s">
        <v>17</v>
      </c>
      <c r="J12" s="176" t="s">
        <v>70</v>
      </c>
      <c r="K12" s="162" t="s">
        <v>70</v>
      </c>
      <c r="L12" s="162" t="s">
        <v>70</v>
      </c>
      <c r="M12" s="162" t="s">
        <v>70</v>
      </c>
      <c r="N12" s="162" t="s">
        <v>70</v>
      </c>
      <c r="O12" s="162" t="s">
        <v>344</v>
      </c>
      <c r="P12" s="162" t="s">
        <v>346</v>
      </c>
      <c r="Q12" s="162" t="s">
        <v>389</v>
      </c>
      <c r="R12" s="162" t="s">
        <v>366</v>
      </c>
      <c r="S12" s="162" t="s">
        <v>365</v>
      </c>
      <c r="T12" s="162" t="s">
        <v>387</v>
      </c>
      <c r="U12" s="162" t="s">
        <v>133</v>
      </c>
      <c r="V12" s="192" t="s">
        <v>380</v>
      </c>
      <c r="W12" s="162" t="s">
        <v>104</v>
      </c>
      <c r="X12" s="249" t="s">
        <v>368</v>
      </c>
      <c r="Y12" s="162" t="s">
        <v>380</v>
      </c>
      <c r="Z12" s="162" t="s">
        <v>391</v>
      </c>
      <c r="AA12" s="162" t="s">
        <v>370</v>
      </c>
      <c r="AB12" s="162" t="s">
        <v>370</v>
      </c>
      <c r="AC12" s="162" t="s">
        <v>70</v>
      </c>
      <c r="AD12" s="162" t="s">
        <v>410</v>
      </c>
      <c r="AE12" s="162" t="s">
        <v>231</v>
      </c>
      <c r="AF12" s="162" t="s">
        <v>112</v>
      </c>
      <c r="AG12" s="162" t="s">
        <v>112</v>
      </c>
      <c r="AH12" s="162" t="s">
        <v>426</v>
      </c>
      <c r="AI12" s="162" t="s">
        <v>408</v>
      </c>
      <c r="AJ12" s="162" t="s">
        <v>718</v>
      </c>
      <c r="AK12" s="194" t="s">
        <v>223</v>
      </c>
      <c r="AL12" s="169">
        <v>617.86</v>
      </c>
      <c r="AM12" s="169">
        <v>1235.73</v>
      </c>
      <c r="AN12" s="177">
        <v>1050.3699999999999</v>
      </c>
      <c r="AO12" s="169">
        <v>1760.92</v>
      </c>
    </row>
    <row r="13" spans="2:41" ht="90" x14ac:dyDescent="0.25">
      <c r="B13" s="191" t="s">
        <v>334</v>
      </c>
      <c r="C13" s="175">
        <v>600</v>
      </c>
      <c r="D13" s="175">
        <v>1200</v>
      </c>
      <c r="E13" s="255" t="s">
        <v>7</v>
      </c>
      <c r="F13" s="175">
        <v>4000</v>
      </c>
      <c r="G13" s="175">
        <v>8000</v>
      </c>
      <c r="H13" s="162" t="s">
        <v>53</v>
      </c>
      <c r="I13" s="190" t="s">
        <v>17</v>
      </c>
      <c r="J13" s="176" t="s">
        <v>70</v>
      </c>
      <c r="K13" s="162" t="s">
        <v>70</v>
      </c>
      <c r="L13" s="162" t="s">
        <v>70</v>
      </c>
      <c r="M13" s="162" t="s">
        <v>70</v>
      </c>
      <c r="N13" s="162" t="s">
        <v>70</v>
      </c>
      <c r="O13" s="162" t="s">
        <v>46</v>
      </c>
      <c r="P13" s="162" t="s">
        <v>49</v>
      </c>
      <c r="Q13" s="162" t="s">
        <v>227</v>
      </c>
      <c r="R13" s="162" t="s">
        <v>367</v>
      </c>
      <c r="S13" s="162" t="s">
        <v>96</v>
      </c>
      <c r="T13" s="162" t="s">
        <v>133</v>
      </c>
      <c r="U13" s="162" t="s">
        <v>133</v>
      </c>
      <c r="V13" s="192" t="s">
        <v>224</v>
      </c>
      <c r="W13" s="162" t="s">
        <v>104</v>
      </c>
      <c r="X13" s="249" t="s">
        <v>137</v>
      </c>
      <c r="Y13" s="162" t="s">
        <v>224</v>
      </c>
      <c r="Z13" s="162" t="s">
        <v>140</v>
      </c>
      <c r="AA13" s="162" t="s">
        <v>99</v>
      </c>
      <c r="AB13" s="162" t="s">
        <v>99</v>
      </c>
      <c r="AC13" s="162" t="s">
        <v>70</v>
      </c>
      <c r="AD13" s="162" t="s">
        <v>232</v>
      </c>
      <c r="AE13" s="162" t="s">
        <v>231</v>
      </c>
      <c r="AF13" s="162" t="s">
        <v>112</v>
      </c>
      <c r="AG13" s="162" t="s">
        <v>112</v>
      </c>
      <c r="AH13" s="162" t="s">
        <v>428</v>
      </c>
      <c r="AI13" s="162" t="s">
        <v>45</v>
      </c>
      <c r="AJ13" s="162" t="s">
        <v>718</v>
      </c>
      <c r="AK13" s="194" t="s">
        <v>223</v>
      </c>
      <c r="AL13" s="169">
        <v>706.9</v>
      </c>
      <c r="AM13" s="169">
        <v>1413.81</v>
      </c>
      <c r="AN13" s="177">
        <v>1201.74</v>
      </c>
      <c r="AO13" s="169">
        <v>2014.67</v>
      </c>
    </row>
    <row r="14" spans="2:41" ht="99" x14ac:dyDescent="0.25">
      <c r="B14" s="191" t="s">
        <v>335</v>
      </c>
      <c r="C14" s="175">
        <v>6100</v>
      </c>
      <c r="D14" s="175">
        <v>12200</v>
      </c>
      <c r="E14" s="257" t="s">
        <v>7</v>
      </c>
      <c r="F14" s="175">
        <v>6900</v>
      </c>
      <c r="G14" s="175">
        <v>13800</v>
      </c>
      <c r="H14" s="162" t="s">
        <v>287</v>
      </c>
      <c r="I14" s="190" t="s">
        <v>17</v>
      </c>
      <c r="J14" s="176" t="s">
        <v>70</v>
      </c>
      <c r="K14" s="162" t="s">
        <v>70</v>
      </c>
      <c r="L14" s="162" t="s">
        <v>70</v>
      </c>
      <c r="M14" s="162" t="s">
        <v>70</v>
      </c>
      <c r="N14" s="162" t="s">
        <v>70</v>
      </c>
      <c r="O14" s="162" t="s">
        <v>173</v>
      </c>
      <c r="P14" s="162" t="s">
        <v>173</v>
      </c>
      <c r="Q14" s="162" t="s">
        <v>173</v>
      </c>
      <c r="R14" s="162" t="s">
        <v>173</v>
      </c>
      <c r="S14" s="162" t="s">
        <v>173</v>
      </c>
      <c r="T14" s="162" t="s">
        <v>173</v>
      </c>
      <c r="U14" s="162" t="s">
        <v>173</v>
      </c>
      <c r="V14" s="192" t="s">
        <v>381</v>
      </c>
      <c r="W14" s="162" t="s">
        <v>104</v>
      </c>
      <c r="X14" s="249" t="s">
        <v>173</v>
      </c>
      <c r="Y14" s="162" t="s">
        <v>381</v>
      </c>
      <c r="Z14" s="162" t="s">
        <v>173</v>
      </c>
      <c r="AA14" s="162" t="s">
        <v>173</v>
      </c>
      <c r="AB14" s="162" t="s">
        <v>173</v>
      </c>
      <c r="AC14" s="162" t="s">
        <v>84</v>
      </c>
      <c r="AD14" s="162" t="s">
        <v>173</v>
      </c>
      <c r="AE14" s="162" t="s">
        <v>405</v>
      </c>
      <c r="AF14" s="162" t="s">
        <v>112</v>
      </c>
      <c r="AG14" s="162" t="s">
        <v>112</v>
      </c>
      <c r="AH14" s="162" t="s">
        <v>173</v>
      </c>
      <c r="AI14" s="162" t="s">
        <v>173</v>
      </c>
      <c r="AJ14" s="162" t="s">
        <v>17</v>
      </c>
      <c r="AK14" s="194" t="s">
        <v>376</v>
      </c>
      <c r="AL14" s="169">
        <v>438.64</v>
      </c>
      <c r="AM14" s="169">
        <v>877.27</v>
      </c>
      <c r="AN14" s="177">
        <v>745.68</v>
      </c>
      <c r="AO14" s="169">
        <v>1250.1099999999999</v>
      </c>
    </row>
    <row r="15" spans="2:41" ht="99" x14ac:dyDescent="0.25">
      <c r="B15" s="191" t="s">
        <v>436</v>
      </c>
      <c r="C15" s="175">
        <v>5500</v>
      </c>
      <c r="D15" s="175">
        <v>11000</v>
      </c>
      <c r="E15" s="258" t="s">
        <v>8</v>
      </c>
      <c r="F15" s="175">
        <v>7000</v>
      </c>
      <c r="G15" s="175">
        <v>14000</v>
      </c>
      <c r="H15" s="162" t="s">
        <v>287</v>
      </c>
      <c r="I15" s="190" t="s">
        <v>17</v>
      </c>
      <c r="J15" s="176" t="s">
        <v>70</v>
      </c>
      <c r="K15" s="162" t="s">
        <v>70</v>
      </c>
      <c r="L15" s="162" t="s">
        <v>70</v>
      </c>
      <c r="M15" s="162" t="s">
        <v>70</v>
      </c>
      <c r="N15" s="162" t="s">
        <v>70</v>
      </c>
      <c r="O15" s="162" t="s">
        <v>173</v>
      </c>
      <c r="P15" s="162" t="s">
        <v>173</v>
      </c>
      <c r="Q15" s="162" t="s">
        <v>173</v>
      </c>
      <c r="R15" s="162" t="s">
        <v>173</v>
      </c>
      <c r="S15" s="162" t="s">
        <v>173</v>
      </c>
      <c r="T15" s="162" t="s">
        <v>173</v>
      </c>
      <c r="U15" s="162" t="s">
        <v>173</v>
      </c>
      <c r="V15" s="192" t="s">
        <v>381</v>
      </c>
      <c r="W15" s="162" t="s">
        <v>104</v>
      </c>
      <c r="X15" s="248" t="s">
        <v>173</v>
      </c>
      <c r="Y15" s="162" t="s">
        <v>471</v>
      </c>
      <c r="Z15" s="162" t="s">
        <v>173</v>
      </c>
      <c r="AA15" s="162" t="s">
        <v>173</v>
      </c>
      <c r="AB15" s="162" t="s">
        <v>173</v>
      </c>
      <c r="AC15" s="162" t="s">
        <v>84</v>
      </c>
      <c r="AD15" s="162" t="s">
        <v>173</v>
      </c>
      <c r="AE15" s="162" t="s">
        <v>405</v>
      </c>
      <c r="AF15" s="162" t="s">
        <v>184</v>
      </c>
      <c r="AG15" s="162" t="s">
        <v>503</v>
      </c>
      <c r="AH15" s="162" t="s">
        <v>482</v>
      </c>
      <c r="AI15" s="162" t="s">
        <v>173</v>
      </c>
      <c r="AJ15" s="162" t="s">
        <v>17</v>
      </c>
      <c r="AK15" s="196" t="s">
        <v>719</v>
      </c>
      <c r="AL15" s="169">
        <v>438.68</v>
      </c>
      <c r="AM15" s="169">
        <v>877.35</v>
      </c>
      <c r="AN15" s="177">
        <v>745.75</v>
      </c>
      <c r="AO15" s="169">
        <v>1250.22</v>
      </c>
    </row>
    <row r="16" spans="2:41" ht="99" x14ac:dyDescent="0.25">
      <c r="B16" s="191" t="s">
        <v>437</v>
      </c>
      <c r="C16" s="175">
        <v>7000</v>
      </c>
      <c r="D16" s="175">
        <v>14000</v>
      </c>
      <c r="E16" s="257" t="s">
        <v>8</v>
      </c>
      <c r="F16" s="175">
        <v>7000</v>
      </c>
      <c r="G16" s="175">
        <v>14000</v>
      </c>
      <c r="H16" s="162" t="s">
        <v>53</v>
      </c>
      <c r="I16" s="190" t="s">
        <v>17</v>
      </c>
      <c r="J16" s="176" t="s">
        <v>70</v>
      </c>
      <c r="K16" s="162" t="s">
        <v>70</v>
      </c>
      <c r="L16" s="162" t="s">
        <v>70</v>
      </c>
      <c r="M16" s="162" t="s">
        <v>70</v>
      </c>
      <c r="N16" s="162" t="s">
        <v>70</v>
      </c>
      <c r="O16" s="162" t="s">
        <v>218</v>
      </c>
      <c r="P16" s="162" t="s">
        <v>218</v>
      </c>
      <c r="Q16" s="162" t="s">
        <v>218</v>
      </c>
      <c r="R16" s="162" t="s">
        <v>218</v>
      </c>
      <c r="S16" s="162" t="s">
        <v>218</v>
      </c>
      <c r="T16" s="162" t="s">
        <v>218</v>
      </c>
      <c r="U16" s="162" t="s">
        <v>218</v>
      </c>
      <c r="V16" s="192" t="s">
        <v>462</v>
      </c>
      <c r="W16" s="162" t="s">
        <v>104</v>
      </c>
      <c r="X16" s="248" t="s">
        <v>173</v>
      </c>
      <c r="Y16" s="162" t="s">
        <v>382</v>
      </c>
      <c r="Z16" s="162" t="s">
        <v>218</v>
      </c>
      <c r="AA16" s="162" t="s">
        <v>218</v>
      </c>
      <c r="AB16" s="162" t="s">
        <v>218</v>
      </c>
      <c r="AC16" s="162" t="s">
        <v>84</v>
      </c>
      <c r="AD16" s="162" t="s">
        <v>218</v>
      </c>
      <c r="AE16" s="162" t="s">
        <v>406</v>
      </c>
      <c r="AF16" s="162" t="s">
        <v>184</v>
      </c>
      <c r="AG16" s="162" t="s">
        <v>503</v>
      </c>
      <c r="AH16" s="162" t="s">
        <v>482</v>
      </c>
      <c r="AI16" s="162" t="s">
        <v>218</v>
      </c>
      <c r="AJ16" s="162" t="s">
        <v>17</v>
      </c>
      <c r="AK16" s="196" t="s">
        <v>720</v>
      </c>
      <c r="AL16" s="169">
        <v>438.93</v>
      </c>
      <c r="AM16" s="169">
        <v>877.87</v>
      </c>
      <c r="AN16" s="177">
        <v>746.19</v>
      </c>
      <c r="AO16" s="169">
        <v>1250.96</v>
      </c>
    </row>
    <row r="17" spans="2:41" ht="90" x14ac:dyDescent="0.25">
      <c r="B17" s="191" t="s">
        <v>438</v>
      </c>
      <c r="C17" s="175">
        <v>6000</v>
      </c>
      <c r="D17" s="175">
        <v>12000</v>
      </c>
      <c r="E17" s="258" t="s">
        <v>8</v>
      </c>
      <c r="F17" s="175">
        <v>7000</v>
      </c>
      <c r="G17" s="175">
        <v>14000</v>
      </c>
      <c r="H17" s="162" t="s">
        <v>53</v>
      </c>
      <c r="I17" s="190" t="s">
        <v>17</v>
      </c>
      <c r="J17" s="176" t="s">
        <v>70</v>
      </c>
      <c r="K17" s="162" t="s">
        <v>70</v>
      </c>
      <c r="L17" s="162" t="s">
        <v>70</v>
      </c>
      <c r="M17" s="162" t="s">
        <v>70</v>
      </c>
      <c r="N17" s="162" t="s">
        <v>70</v>
      </c>
      <c r="O17" s="162" t="s">
        <v>49</v>
      </c>
      <c r="P17" s="162" t="s">
        <v>227</v>
      </c>
      <c r="Q17" s="162" t="s">
        <v>227</v>
      </c>
      <c r="R17" s="162" t="s">
        <v>227</v>
      </c>
      <c r="S17" s="162" t="s">
        <v>49</v>
      </c>
      <c r="T17" s="162" t="s">
        <v>466</v>
      </c>
      <c r="U17" s="162" t="s">
        <v>466</v>
      </c>
      <c r="V17" s="192" t="s">
        <v>224</v>
      </c>
      <c r="W17" s="162" t="s">
        <v>104</v>
      </c>
      <c r="X17" s="248" t="s">
        <v>218</v>
      </c>
      <c r="Y17" s="162" t="s">
        <v>224</v>
      </c>
      <c r="Z17" s="162" t="s">
        <v>137</v>
      </c>
      <c r="AA17" s="162" t="s">
        <v>101</v>
      </c>
      <c r="AB17" s="162" t="s">
        <v>453</v>
      </c>
      <c r="AC17" s="162" t="s">
        <v>84</v>
      </c>
      <c r="AD17" s="162" t="s">
        <v>49</v>
      </c>
      <c r="AE17" s="162" t="s">
        <v>685</v>
      </c>
      <c r="AF17" s="162" t="s">
        <v>184</v>
      </c>
      <c r="AG17" s="162" t="s">
        <v>503</v>
      </c>
      <c r="AH17" s="162" t="s">
        <v>482</v>
      </c>
      <c r="AI17" s="162" t="s">
        <v>173</v>
      </c>
      <c r="AJ17" s="162" t="s">
        <v>17</v>
      </c>
      <c r="AK17" s="196" t="s">
        <v>721</v>
      </c>
      <c r="AL17" s="169">
        <v>439.44</v>
      </c>
      <c r="AM17" s="169">
        <v>878.88</v>
      </c>
      <c r="AN17" s="177">
        <v>747.05</v>
      </c>
      <c r="AO17" s="169">
        <v>1252.4000000000001</v>
      </c>
    </row>
    <row r="18" spans="2:41" ht="72" x14ac:dyDescent="0.25">
      <c r="B18" s="191" t="s">
        <v>332</v>
      </c>
      <c r="C18" s="162" t="s">
        <v>66</v>
      </c>
      <c r="D18" s="162" t="s">
        <v>66</v>
      </c>
      <c r="E18" s="258" t="s">
        <v>8</v>
      </c>
      <c r="F18" s="175">
        <v>2000</v>
      </c>
      <c r="G18" s="175">
        <v>4000</v>
      </c>
      <c r="H18" s="162" t="s">
        <v>66</v>
      </c>
      <c r="I18" s="190" t="s">
        <v>17</v>
      </c>
      <c r="J18" s="176" t="s">
        <v>70</v>
      </c>
      <c r="K18" s="162" t="s">
        <v>70</v>
      </c>
      <c r="L18" s="162" t="s">
        <v>70</v>
      </c>
      <c r="M18" s="162" t="s">
        <v>70</v>
      </c>
      <c r="N18" s="162" t="s">
        <v>70</v>
      </c>
      <c r="O18" s="162" t="s">
        <v>343</v>
      </c>
      <c r="P18" s="162" t="s">
        <v>345</v>
      </c>
      <c r="Q18" s="162" t="s">
        <v>388</v>
      </c>
      <c r="R18" s="162" t="s">
        <v>364</v>
      </c>
      <c r="S18" s="162" t="s">
        <v>364</v>
      </c>
      <c r="T18" s="162" t="s">
        <v>87</v>
      </c>
      <c r="U18" s="162" t="s">
        <v>87</v>
      </c>
      <c r="V18" s="193" t="s">
        <v>379</v>
      </c>
      <c r="W18" s="162" t="s">
        <v>104</v>
      </c>
      <c r="X18" s="249" t="s">
        <v>345</v>
      </c>
      <c r="Y18" s="162" t="s">
        <v>379</v>
      </c>
      <c r="Z18" s="162" t="s">
        <v>343</v>
      </c>
      <c r="AA18" s="162" t="s">
        <v>369</v>
      </c>
      <c r="AB18" s="162" t="s">
        <v>369</v>
      </c>
      <c r="AC18" s="162" t="s">
        <v>70</v>
      </c>
      <c r="AD18" s="162" t="s">
        <v>409</v>
      </c>
      <c r="AE18" s="162" t="s">
        <v>404</v>
      </c>
      <c r="AF18" s="162" t="s">
        <v>112</v>
      </c>
      <c r="AG18" s="162" t="s">
        <v>112</v>
      </c>
      <c r="AH18" s="162" t="s">
        <v>424</v>
      </c>
      <c r="AI18" s="162" t="s">
        <v>407</v>
      </c>
      <c r="AJ18" s="162" t="s">
        <v>718</v>
      </c>
      <c r="AK18" s="194" t="s">
        <v>375</v>
      </c>
      <c r="AL18" s="169">
        <v>815.8</v>
      </c>
      <c r="AM18" s="169">
        <v>1631.59</v>
      </c>
      <c r="AN18" s="177">
        <v>1386.86</v>
      </c>
      <c r="AO18" s="169">
        <v>2325.02</v>
      </c>
    </row>
    <row r="19" spans="2:41" ht="72" x14ac:dyDescent="0.25">
      <c r="B19" s="191" t="s">
        <v>489</v>
      </c>
      <c r="C19" s="162" t="s">
        <v>66</v>
      </c>
      <c r="D19" s="162" t="s">
        <v>66</v>
      </c>
      <c r="E19" s="255" t="s">
        <v>7</v>
      </c>
      <c r="F19" s="175">
        <v>6550</v>
      </c>
      <c r="G19" s="175">
        <v>13100</v>
      </c>
      <c r="H19" s="162" t="s">
        <v>66</v>
      </c>
      <c r="I19" s="190" t="s">
        <v>17</v>
      </c>
      <c r="J19" s="176" t="s">
        <v>70</v>
      </c>
      <c r="K19" s="162" t="s">
        <v>70</v>
      </c>
      <c r="L19" s="162" t="s">
        <v>70</v>
      </c>
      <c r="M19" s="162" t="s">
        <v>70</v>
      </c>
      <c r="N19" s="162" t="s">
        <v>70</v>
      </c>
      <c r="O19" s="162" t="s">
        <v>305</v>
      </c>
      <c r="P19" s="162" t="s">
        <v>247</v>
      </c>
      <c r="Q19" s="162" t="s">
        <v>247</v>
      </c>
      <c r="R19" s="162" t="s">
        <v>247</v>
      </c>
      <c r="S19" s="162" t="s">
        <v>305</v>
      </c>
      <c r="T19" s="162" t="s">
        <v>320</v>
      </c>
      <c r="U19" s="162" t="s">
        <v>498</v>
      </c>
      <c r="V19" s="193" t="s">
        <v>496</v>
      </c>
      <c r="W19" s="162" t="s">
        <v>104</v>
      </c>
      <c r="X19" s="249" t="s">
        <v>87</v>
      </c>
      <c r="Y19" s="162" t="s">
        <v>496</v>
      </c>
      <c r="Z19" s="162" t="s">
        <v>322</v>
      </c>
      <c r="AA19" s="162" t="s">
        <v>305</v>
      </c>
      <c r="AB19" s="162" t="s">
        <v>247</v>
      </c>
      <c r="AC19" s="162" t="s">
        <v>70</v>
      </c>
      <c r="AD19" s="162" t="s">
        <v>305</v>
      </c>
      <c r="AE19" s="162" t="s">
        <v>282</v>
      </c>
      <c r="AF19" s="162" t="s">
        <v>182</v>
      </c>
      <c r="AG19" s="162" t="s">
        <v>503</v>
      </c>
      <c r="AH19" s="162" t="s">
        <v>292</v>
      </c>
      <c r="AI19" s="162" t="s">
        <v>287</v>
      </c>
      <c r="AJ19" s="162" t="s">
        <v>718</v>
      </c>
      <c r="AK19" s="194" t="s">
        <v>315</v>
      </c>
      <c r="AL19" s="169">
        <v>795.26</v>
      </c>
      <c r="AM19" s="169">
        <v>1590.52</v>
      </c>
      <c r="AN19" s="177">
        <v>1351.94</v>
      </c>
      <c r="AO19" s="169">
        <v>2266.4899999999998</v>
      </c>
    </row>
    <row r="20" spans="2:41" ht="90" x14ac:dyDescent="0.25">
      <c r="B20" s="191" t="s">
        <v>506</v>
      </c>
      <c r="C20" s="175">
        <v>2500</v>
      </c>
      <c r="D20" s="175">
        <v>5000</v>
      </c>
      <c r="E20" s="255" t="s">
        <v>7</v>
      </c>
      <c r="F20" s="175">
        <v>8000</v>
      </c>
      <c r="G20" s="175">
        <v>16000</v>
      </c>
      <c r="H20" s="162" t="s">
        <v>512</v>
      </c>
      <c r="I20" s="190" t="s">
        <v>17</v>
      </c>
      <c r="J20" s="176" t="s">
        <v>70</v>
      </c>
      <c r="K20" s="162" t="s">
        <v>70</v>
      </c>
      <c r="L20" s="162" t="s">
        <v>70</v>
      </c>
      <c r="M20" s="162" t="s">
        <v>70</v>
      </c>
      <c r="N20" s="162" t="s">
        <v>70</v>
      </c>
      <c r="O20" s="162" t="s">
        <v>49</v>
      </c>
      <c r="P20" s="162" t="s">
        <v>227</v>
      </c>
      <c r="Q20" s="162" t="s">
        <v>227</v>
      </c>
      <c r="R20" s="162" t="s">
        <v>467</v>
      </c>
      <c r="S20" s="162" t="s">
        <v>137</v>
      </c>
      <c r="T20" s="162" t="s">
        <v>530</v>
      </c>
      <c r="U20" s="162" t="s">
        <v>530</v>
      </c>
      <c r="V20" s="192" t="s">
        <v>526</v>
      </c>
      <c r="W20" s="162" t="s">
        <v>104</v>
      </c>
      <c r="X20" s="249" t="s">
        <v>139</v>
      </c>
      <c r="Y20" s="162" t="s">
        <v>532</v>
      </c>
      <c r="Z20" s="162" t="s">
        <v>533</v>
      </c>
      <c r="AA20" s="162" t="s">
        <v>101</v>
      </c>
      <c r="AB20" s="162" t="s">
        <v>467</v>
      </c>
      <c r="AC20" s="162" t="s">
        <v>84</v>
      </c>
      <c r="AD20" s="162" t="s">
        <v>137</v>
      </c>
      <c r="AE20" s="162" t="s">
        <v>544</v>
      </c>
      <c r="AF20" s="162" t="s">
        <v>184</v>
      </c>
      <c r="AG20" s="162" t="s">
        <v>503</v>
      </c>
      <c r="AH20" s="162" t="s">
        <v>197</v>
      </c>
      <c r="AI20" s="162" t="s">
        <v>173</v>
      </c>
      <c r="AJ20" s="162" t="s">
        <v>718</v>
      </c>
      <c r="AK20" s="194" t="s">
        <v>111</v>
      </c>
      <c r="AL20" s="169">
        <v>555.41999999999996</v>
      </c>
      <c r="AM20" s="169">
        <v>1110.8399999999999</v>
      </c>
      <c r="AN20" s="177">
        <v>944.22</v>
      </c>
      <c r="AO20" s="169">
        <v>1582.95</v>
      </c>
    </row>
    <row r="21" spans="2:41" ht="153" x14ac:dyDescent="0.25">
      <c r="B21" s="191" t="s">
        <v>507</v>
      </c>
      <c r="C21" s="175">
        <v>2600</v>
      </c>
      <c r="D21" s="175">
        <v>5200</v>
      </c>
      <c r="E21" s="256" t="s">
        <v>8</v>
      </c>
      <c r="F21" s="175">
        <v>7000</v>
      </c>
      <c r="G21" s="175">
        <v>14000</v>
      </c>
      <c r="H21" s="162" t="s">
        <v>51</v>
      </c>
      <c r="I21" s="190" t="s">
        <v>17</v>
      </c>
      <c r="J21" s="176" t="s">
        <v>70</v>
      </c>
      <c r="K21" s="162" t="s">
        <v>70</v>
      </c>
      <c r="L21" s="162" t="s">
        <v>70</v>
      </c>
      <c r="M21" s="162" t="s">
        <v>70</v>
      </c>
      <c r="N21" s="162" t="s">
        <v>70</v>
      </c>
      <c r="O21" s="162" t="s">
        <v>45</v>
      </c>
      <c r="P21" s="162" t="s">
        <v>45</v>
      </c>
      <c r="Q21" s="162" t="s">
        <v>45</v>
      </c>
      <c r="R21" s="162" t="s">
        <v>45</v>
      </c>
      <c r="S21" s="162" t="s">
        <v>45</v>
      </c>
      <c r="T21" s="162" t="s">
        <v>45</v>
      </c>
      <c r="U21" s="162" t="s">
        <v>45</v>
      </c>
      <c r="V21" s="192" t="s">
        <v>119</v>
      </c>
      <c r="W21" s="162" t="s">
        <v>104</v>
      </c>
      <c r="X21" s="249" t="s">
        <v>45</v>
      </c>
      <c r="Y21" s="162" t="s">
        <v>146</v>
      </c>
      <c r="Z21" s="162" t="s">
        <v>45</v>
      </c>
      <c r="AA21" s="162" t="s">
        <v>45</v>
      </c>
      <c r="AB21" s="162" t="s">
        <v>45</v>
      </c>
      <c r="AC21" s="162" t="s">
        <v>84</v>
      </c>
      <c r="AD21" s="162" t="s">
        <v>45</v>
      </c>
      <c r="AE21" s="162" t="s">
        <v>170</v>
      </c>
      <c r="AF21" s="162" t="s">
        <v>184</v>
      </c>
      <c r="AG21" s="162" t="s">
        <v>503</v>
      </c>
      <c r="AH21" s="162" t="s">
        <v>200</v>
      </c>
      <c r="AI21" s="162" t="s">
        <v>173</v>
      </c>
      <c r="AJ21" s="162" t="s">
        <v>17</v>
      </c>
      <c r="AK21" s="194" t="s">
        <v>113</v>
      </c>
      <c r="AL21" s="169">
        <v>557.23</v>
      </c>
      <c r="AM21" s="169">
        <v>1114.47</v>
      </c>
      <c r="AN21" s="177">
        <v>947.3</v>
      </c>
      <c r="AO21" s="169">
        <v>1588.11</v>
      </c>
    </row>
    <row r="22" spans="2:41" ht="153" x14ac:dyDescent="0.25">
      <c r="B22" s="191" t="s">
        <v>508</v>
      </c>
      <c r="C22" s="175">
        <v>2500</v>
      </c>
      <c r="D22" s="175">
        <v>5000</v>
      </c>
      <c r="E22" s="255" t="s">
        <v>8</v>
      </c>
      <c r="F22" s="175">
        <v>6750</v>
      </c>
      <c r="G22" s="175">
        <v>13500</v>
      </c>
      <c r="H22" s="162" t="s">
        <v>53</v>
      </c>
      <c r="I22" s="190" t="s">
        <v>17</v>
      </c>
      <c r="J22" s="176" t="s">
        <v>70</v>
      </c>
      <c r="K22" s="162" t="s">
        <v>70</v>
      </c>
      <c r="L22" s="162" t="s">
        <v>70</v>
      </c>
      <c r="M22" s="162" t="s">
        <v>70</v>
      </c>
      <c r="N22" s="162" t="s">
        <v>70</v>
      </c>
      <c r="O22" s="162" t="s">
        <v>46</v>
      </c>
      <c r="P22" s="162" t="s">
        <v>346</v>
      </c>
      <c r="Q22" s="162" t="s">
        <v>346</v>
      </c>
      <c r="R22" s="162" t="s">
        <v>346</v>
      </c>
      <c r="S22" s="162" t="s">
        <v>46</v>
      </c>
      <c r="T22" s="162" t="s">
        <v>387</v>
      </c>
      <c r="U22" s="162" t="s">
        <v>387</v>
      </c>
      <c r="V22" s="192" t="s">
        <v>121</v>
      </c>
      <c r="W22" s="162" t="s">
        <v>104</v>
      </c>
      <c r="X22" s="249" t="s">
        <v>139</v>
      </c>
      <c r="Y22" s="162" t="s">
        <v>121</v>
      </c>
      <c r="Z22" s="162" t="s">
        <v>140</v>
      </c>
      <c r="AA22" s="162" t="s">
        <v>99</v>
      </c>
      <c r="AB22" s="162" t="s">
        <v>522</v>
      </c>
      <c r="AC22" s="162" t="s">
        <v>84</v>
      </c>
      <c r="AD22" s="162" t="s">
        <v>46</v>
      </c>
      <c r="AE22" s="162" t="s">
        <v>545</v>
      </c>
      <c r="AF22" s="162" t="s">
        <v>184</v>
      </c>
      <c r="AG22" s="162" t="s">
        <v>503</v>
      </c>
      <c r="AH22" s="162" t="s">
        <v>200</v>
      </c>
      <c r="AI22" s="162" t="s">
        <v>173</v>
      </c>
      <c r="AJ22" s="162" t="s">
        <v>17</v>
      </c>
      <c r="AK22" s="194" t="s">
        <v>113</v>
      </c>
      <c r="AL22" s="169">
        <v>562.09</v>
      </c>
      <c r="AM22" s="169">
        <v>1124.18</v>
      </c>
      <c r="AN22" s="177">
        <v>955.56</v>
      </c>
      <c r="AO22" s="169">
        <v>1601.96</v>
      </c>
    </row>
    <row r="23" spans="2:41" ht="72" x14ac:dyDescent="0.25">
      <c r="B23" s="191" t="s">
        <v>557</v>
      </c>
      <c r="C23" s="175">
        <v>7500</v>
      </c>
      <c r="D23" s="175">
        <v>15000</v>
      </c>
      <c r="E23" s="255" t="s">
        <v>7</v>
      </c>
      <c r="F23" s="175">
        <v>8250</v>
      </c>
      <c r="G23" s="175">
        <v>16500</v>
      </c>
      <c r="H23" s="162" t="s">
        <v>566</v>
      </c>
      <c r="I23" s="190" t="s">
        <v>17</v>
      </c>
      <c r="J23" s="176" t="s">
        <v>70</v>
      </c>
      <c r="K23" s="162" t="s">
        <v>70</v>
      </c>
      <c r="L23" s="162" t="s">
        <v>70</v>
      </c>
      <c r="M23" s="162" t="s">
        <v>70</v>
      </c>
      <c r="N23" s="162" t="s">
        <v>70</v>
      </c>
      <c r="O23" s="162" t="s">
        <v>247</v>
      </c>
      <c r="P23" s="162" t="s">
        <v>565</v>
      </c>
      <c r="Q23" s="162" t="s">
        <v>565</v>
      </c>
      <c r="R23" s="162" t="s">
        <v>565</v>
      </c>
      <c r="S23" s="162" t="s">
        <v>247</v>
      </c>
      <c r="T23" s="162" t="s">
        <v>584</v>
      </c>
      <c r="U23" s="162" t="s">
        <v>584</v>
      </c>
      <c r="V23" s="193" t="s">
        <v>582</v>
      </c>
      <c r="W23" s="162" t="s">
        <v>104</v>
      </c>
      <c r="X23" s="249" t="s">
        <v>87</v>
      </c>
      <c r="Y23" s="162" t="s">
        <v>587</v>
      </c>
      <c r="Z23" s="162" t="s">
        <v>690</v>
      </c>
      <c r="AA23" s="162" t="s">
        <v>247</v>
      </c>
      <c r="AB23" s="162" t="s">
        <v>565</v>
      </c>
      <c r="AC23" s="162" t="s">
        <v>70</v>
      </c>
      <c r="AD23" s="162" t="s">
        <v>247</v>
      </c>
      <c r="AE23" s="162" t="s">
        <v>592</v>
      </c>
      <c r="AF23" s="162" t="s">
        <v>182</v>
      </c>
      <c r="AG23" s="162" t="s">
        <v>503</v>
      </c>
      <c r="AH23" s="162" t="s">
        <v>197</v>
      </c>
      <c r="AI23" s="162" t="s">
        <v>173</v>
      </c>
      <c r="AJ23" s="162" t="s">
        <v>718</v>
      </c>
      <c r="AK23" s="197" t="s">
        <v>576</v>
      </c>
      <c r="AL23" s="169">
        <v>462.05</v>
      </c>
      <c r="AM23" s="169">
        <v>924.1</v>
      </c>
      <c r="AN23" s="177">
        <v>785.49</v>
      </c>
      <c r="AO23" s="169">
        <v>1316.84</v>
      </c>
    </row>
    <row r="24" spans="2:41" ht="153" x14ac:dyDescent="0.25">
      <c r="B24" s="191" t="s">
        <v>558</v>
      </c>
      <c r="C24" s="175">
        <v>2800</v>
      </c>
      <c r="D24" s="175">
        <v>5600</v>
      </c>
      <c r="E24" s="256" t="s">
        <v>8</v>
      </c>
      <c r="F24" s="175">
        <v>6550</v>
      </c>
      <c r="G24" s="175">
        <v>13100</v>
      </c>
      <c r="H24" s="162" t="s">
        <v>51</v>
      </c>
      <c r="I24" s="190" t="s">
        <v>17</v>
      </c>
      <c r="J24" s="176" t="s">
        <v>70</v>
      </c>
      <c r="K24" s="162" t="s">
        <v>70</v>
      </c>
      <c r="L24" s="162" t="s">
        <v>70</v>
      </c>
      <c r="M24" s="162" t="s">
        <v>70</v>
      </c>
      <c r="N24" s="162" t="s">
        <v>70</v>
      </c>
      <c r="O24" s="162" t="s">
        <v>45</v>
      </c>
      <c r="P24" s="162" t="s">
        <v>45</v>
      </c>
      <c r="Q24" s="162" t="s">
        <v>45</v>
      </c>
      <c r="R24" s="162" t="s">
        <v>45</v>
      </c>
      <c r="S24" s="162" t="s">
        <v>45</v>
      </c>
      <c r="T24" s="162" t="s">
        <v>45</v>
      </c>
      <c r="U24" s="162" t="s">
        <v>45</v>
      </c>
      <c r="V24" s="193" t="s">
        <v>119</v>
      </c>
      <c r="W24" s="162" t="s">
        <v>104</v>
      </c>
      <c r="X24" s="249" t="s">
        <v>45</v>
      </c>
      <c r="Y24" s="162" t="s">
        <v>146</v>
      </c>
      <c r="Z24" s="162" t="s">
        <v>45</v>
      </c>
      <c r="AA24" s="162" t="s">
        <v>45</v>
      </c>
      <c r="AB24" s="162" t="s">
        <v>45</v>
      </c>
      <c r="AC24" s="162" t="s">
        <v>84</v>
      </c>
      <c r="AD24" s="162" t="s">
        <v>45</v>
      </c>
      <c r="AE24" s="162" t="s">
        <v>170</v>
      </c>
      <c r="AF24" s="162" t="s">
        <v>184</v>
      </c>
      <c r="AG24" s="162" t="s">
        <v>503</v>
      </c>
      <c r="AH24" s="162" t="s">
        <v>691</v>
      </c>
      <c r="AI24" s="162" t="s">
        <v>173</v>
      </c>
      <c r="AJ24" s="162" t="s">
        <v>17</v>
      </c>
      <c r="AK24" s="197" t="s">
        <v>577</v>
      </c>
      <c r="AL24" s="169">
        <v>550.27</v>
      </c>
      <c r="AM24" s="169">
        <v>1100.55</v>
      </c>
      <c r="AN24" s="177">
        <v>935.46</v>
      </c>
      <c r="AO24" s="169">
        <v>1568.29</v>
      </c>
    </row>
    <row r="25" spans="2:41" ht="153" x14ac:dyDescent="0.25">
      <c r="B25" s="191" t="s">
        <v>559</v>
      </c>
      <c r="C25" s="175">
        <v>3200</v>
      </c>
      <c r="D25" s="175">
        <v>6400</v>
      </c>
      <c r="E25" s="255" t="s">
        <v>7</v>
      </c>
      <c r="F25" s="175">
        <v>6550</v>
      </c>
      <c r="G25" s="175">
        <v>13100</v>
      </c>
      <c r="H25" s="162" t="s">
        <v>51</v>
      </c>
      <c r="I25" s="190" t="s">
        <v>17</v>
      </c>
      <c r="J25" s="176" t="s">
        <v>70</v>
      </c>
      <c r="K25" s="162" t="s">
        <v>70</v>
      </c>
      <c r="L25" s="162" t="s">
        <v>70</v>
      </c>
      <c r="M25" s="162" t="s">
        <v>70</v>
      </c>
      <c r="N25" s="162" t="s">
        <v>70</v>
      </c>
      <c r="O25" s="162" t="s">
        <v>45</v>
      </c>
      <c r="P25" s="162" t="s">
        <v>45</v>
      </c>
      <c r="Q25" s="162" t="s">
        <v>45</v>
      </c>
      <c r="R25" s="162" t="s">
        <v>45</v>
      </c>
      <c r="S25" s="162" t="s">
        <v>45</v>
      </c>
      <c r="T25" s="162" t="s">
        <v>45</v>
      </c>
      <c r="U25" s="162" t="s">
        <v>45</v>
      </c>
      <c r="V25" s="193" t="s">
        <v>119</v>
      </c>
      <c r="W25" s="162" t="s">
        <v>104</v>
      </c>
      <c r="X25" s="249" t="s">
        <v>45</v>
      </c>
      <c r="Y25" s="162" t="s">
        <v>146</v>
      </c>
      <c r="Z25" s="162" t="s">
        <v>45</v>
      </c>
      <c r="AA25" s="162" t="s">
        <v>45</v>
      </c>
      <c r="AB25" s="162" t="s">
        <v>45</v>
      </c>
      <c r="AC25" s="162" t="s">
        <v>84</v>
      </c>
      <c r="AD25" s="162" t="s">
        <v>45</v>
      </c>
      <c r="AE25" s="162" t="s">
        <v>170</v>
      </c>
      <c r="AF25" s="162" t="s">
        <v>184</v>
      </c>
      <c r="AG25" s="162" t="s">
        <v>503</v>
      </c>
      <c r="AH25" s="162" t="s">
        <v>691</v>
      </c>
      <c r="AI25" s="162" t="s">
        <v>173</v>
      </c>
      <c r="AJ25" s="162" t="s">
        <v>17</v>
      </c>
      <c r="AK25" s="197" t="s">
        <v>577</v>
      </c>
      <c r="AL25" s="169">
        <v>546.37</v>
      </c>
      <c r="AM25" s="169">
        <v>1092.74</v>
      </c>
      <c r="AN25" s="177">
        <v>928.82</v>
      </c>
      <c r="AO25" s="169">
        <v>1557.16</v>
      </c>
    </row>
    <row r="26" spans="2:41" ht="153" x14ac:dyDescent="0.25">
      <c r="B26" s="191" t="s">
        <v>560</v>
      </c>
      <c r="C26" s="175">
        <v>3600</v>
      </c>
      <c r="D26" s="175">
        <v>7200</v>
      </c>
      <c r="E26" s="256" t="s">
        <v>8</v>
      </c>
      <c r="F26" s="175">
        <v>6550</v>
      </c>
      <c r="G26" s="175">
        <v>13100</v>
      </c>
      <c r="H26" s="162" t="s">
        <v>51</v>
      </c>
      <c r="I26" s="190" t="s">
        <v>17</v>
      </c>
      <c r="J26" s="176" t="s">
        <v>70</v>
      </c>
      <c r="K26" s="162" t="s">
        <v>70</v>
      </c>
      <c r="L26" s="162" t="s">
        <v>70</v>
      </c>
      <c r="M26" s="162" t="s">
        <v>70</v>
      </c>
      <c r="N26" s="162" t="s">
        <v>70</v>
      </c>
      <c r="O26" s="162" t="s">
        <v>45</v>
      </c>
      <c r="P26" s="162" t="s">
        <v>45</v>
      </c>
      <c r="Q26" s="162" t="s">
        <v>45</v>
      </c>
      <c r="R26" s="162" t="s">
        <v>45</v>
      </c>
      <c r="S26" s="162" t="s">
        <v>45</v>
      </c>
      <c r="T26" s="162" t="s">
        <v>45</v>
      </c>
      <c r="U26" s="162" t="s">
        <v>45</v>
      </c>
      <c r="V26" s="193" t="s">
        <v>119</v>
      </c>
      <c r="W26" s="162" t="s">
        <v>104</v>
      </c>
      <c r="X26" s="249" t="s">
        <v>45</v>
      </c>
      <c r="Y26" s="162" t="s">
        <v>146</v>
      </c>
      <c r="Z26" s="162" t="s">
        <v>45</v>
      </c>
      <c r="AA26" s="162" t="s">
        <v>45</v>
      </c>
      <c r="AB26" s="162" t="s">
        <v>45</v>
      </c>
      <c r="AC26" s="162" t="s">
        <v>84</v>
      </c>
      <c r="AD26" s="162" t="s">
        <v>45</v>
      </c>
      <c r="AE26" s="162" t="s">
        <v>170</v>
      </c>
      <c r="AF26" s="162" t="s">
        <v>184</v>
      </c>
      <c r="AG26" s="162" t="s">
        <v>503</v>
      </c>
      <c r="AH26" s="162" t="s">
        <v>691</v>
      </c>
      <c r="AI26" s="162" t="s">
        <v>173</v>
      </c>
      <c r="AJ26" s="162" t="s">
        <v>17</v>
      </c>
      <c r="AK26" s="197" t="s">
        <v>579</v>
      </c>
      <c r="AL26" s="169">
        <v>521.23</v>
      </c>
      <c r="AM26" s="169">
        <v>1042.46</v>
      </c>
      <c r="AN26" s="177">
        <v>886.09</v>
      </c>
      <c r="AO26" s="169">
        <v>1485.51</v>
      </c>
    </row>
    <row r="27" spans="2:41" ht="72" x14ac:dyDescent="0.25">
      <c r="B27" s="191" t="s">
        <v>599</v>
      </c>
      <c r="C27" s="162" t="s">
        <v>66</v>
      </c>
      <c r="D27" s="162" t="s">
        <v>66</v>
      </c>
      <c r="E27" s="257" t="s">
        <v>7</v>
      </c>
      <c r="F27" s="175">
        <v>5000</v>
      </c>
      <c r="G27" s="175">
        <v>10000</v>
      </c>
      <c r="H27" s="162" t="s">
        <v>66</v>
      </c>
      <c r="I27" s="190" t="s">
        <v>17</v>
      </c>
      <c r="J27" s="176" t="s">
        <v>70</v>
      </c>
      <c r="K27" s="162" t="s">
        <v>70</v>
      </c>
      <c r="L27" s="162" t="s">
        <v>70</v>
      </c>
      <c r="M27" s="162" t="s">
        <v>70</v>
      </c>
      <c r="N27" s="162" t="s">
        <v>70</v>
      </c>
      <c r="O27" s="162" t="s">
        <v>343</v>
      </c>
      <c r="P27" s="162" t="s">
        <v>246</v>
      </c>
      <c r="Q27" s="162" t="s">
        <v>246</v>
      </c>
      <c r="R27" s="162" t="s">
        <v>246</v>
      </c>
      <c r="S27" s="162" t="s">
        <v>343</v>
      </c>
      <c r="T27" s="162" t="s">
        <v>612</v>
      </c>
      <c r="U27" s="162" t="s">
        <v>613</v>
      </c>
      <c r="V27" s="192" t="s">
        <v>379</v>
      </c>
      <c r="W27" s="162" t="s">
        <v>104</v>
      </c>
      <c r="X27" s="249" t="s">
        <v>87</v>
      </c>
      <c r="Y27" s="162" t="s">
        <v>379</v>
      </c>
      <c r="Z27" s="162" t="s">
        <v>614</v>
      </c>
      <c r="AA27" s="162" t="s">
        <v>343</v>
      </c>
      <c r="AB27" s="162" t="s">
        <v>246</v>
      </c>
      <c r="AC27" s="162" t="s">
        <v>70</v>
      </c>
      <c r="AD27" s="162" t="s">
        <v>343</v>
      </c>
      <c r="AE27" s="162" t="s">
        <v>404</v>
      </c>
      <c r="AF27" s="162" t="s">
        <v>182</v>
      </c>
      <c r="AG27" s="162" t="s">
        <v>503</v>
      </c>
      <c r="AH27" s="162" t="s">
        <v>292</v>
      </c>
      <c r="AI27" s="162" t="s">
        <v>287</v>
      </c>
      <c r="AJ27" s="162" t="s">
        <v>718</v>
      </c>
      <c r="AK27" s="192" t="s">
        <v>315</v>
      </c>
      <c r="AL27" s="169">
        <v>822.87</v>
      </c>
      <c r="AM27" s="169">
        <v>1645.75</v>
      </c>
      <c r="AN27" s="177">
        <v>1398.89</v>
      </c>
      <c r="AO27" s="169">
        <v>2345.19</v>
      </c>
    </row>
    <row r="28" spans="2:41" ht="72" x14ac:dyDescent="0.25">
      <c r="B28" s="191" t="s">
        <v>600</v>
      </c>
      <c r="C28" s="162" t="s">
        <v>66</v>
      </c>
      <c r="D28" s="162" t="s">
        <v>66</v>
      </c>
      <c r="E28" s="258" t="s">
        <v>7</v>
      </c>
      <c r="F28" s="175">
        <v>4500</v>
      </c>
      <c r="G28" s="175">
        <v>9000</v>
      </c>
      <c r="H28" s="162" t="s">
        <v>66</v>
      </c>
      <c r="I28" s="190" t="s">
        <v>17</v>
      </c>
      <c r="J28" s="176" t="s">
        <v>70</v>
      </c>
      <c r="K28" s="162" t="s">
        <v>70</v>
      </c>
      <c r="L28" s="162" t="s">
        <v>70</v>
      </c>
      <c r="M28" s="162" t="s">
        <v>70</v>
      </c>
      <c r="N28" s="162" t="s">
        <v>70</v>
      </c>
      <c r="O28" s="162" t="s">
        <v>246</v>
      </c>
      <c r="P28" s="162" t="s">
        <v>44</v>
      </c>
      <c r="Q28" s="162" t="s">
        <v>44</v>
      </c>
      <c r="R28" s="162" t="s">
        <v>44</v>
      </c>
      <c r="S28" s="162" t="s">
        <v>246</v>
      </c>
      <c r="T28" s="162" t="s">
        <v>612</v>
      </c>
      <c r="U28" s="162" t="s">
        <v>613</v>
      </c>
      <c r="V28" s="192" t="s">
        <v>379</v>
      </c>
      <c r="W28" s="162" t="s">
        <v>104</v>
      </c>
      <c r="X28" s="249" t="s">
        <v>87</v>
      </c>
      <c r="Y28" s="162" t="s">
        <v>379</v>
      </c>
      <c r="Z28" s="162" t="s">
        <v>274</v>
      </c>
      <c r="AA28" s="162" t="s">
        <v>246</v>
      </c>
      <c r="AB28" s="162" t="s">
        <v>44</v>
      </c>
      <c r="AC28" s="162" t="s">
        <v>70</v>
      </c>
      <c r="AD28" s="162" t="s">
        <v>246</v>
      </c>
      <c r="AE28" s="162" t="s">
        <v>615</v>
      </c>
      <c r="AF28" s="162" t="s">
        <v>182</v>
      </c>
      <c r="AG28" s="162" t="s">
        <v>503</v>
      </c>
      <c r="AH28" s="162" t="s">
        <v>292</v>
      </c>
      <c r="AI28" s="162" t="s">
        <v>287</v>
      </c>
      <c r="AJ28" s="162" t="s">
        <v>718</v>
      </c>
      <c r="AK28" s="192" t="s">
        <v>315</v>
      </c>
      <c r="AL28" s="169">
        <v>810.88</v>
      </c>
      <c r="AM28" s="169">
        <v>1621.76</v>
      </c>
      <c r="AN28" s="177">
        <v>1378.5</v>
      </c>
      <c r="AO28" s="169">
        <v>2311.0100000000002</v>
      </c>
    </row>
    <row r="29" spans="2:41" ht="72" x14ac:dyDescent="0.25">
      <c r="B29" s="191" t="s">
        <v>601</v>
      </c>
      <c r="C29" s="175">
        <v>250</v>
      </c>
      <c r="D29" s="175">
        <v>500</v>
      </c>
      <c r="E29" s="257" t="s">
        <v>7</v>
      </c>
      <c r="F29" s="175">
        <v>2000</v>
      </c>
      <c r="G29" s="175">
        <v>4000</v>
      </c>
      <c r="H29" s="162" t="s">
        <v>51</v>
      </c>
      <c r="I29" s="190" t="s">
        <v>17</v>
      </c>
      <c r="J29" s="176" t="s">
        <v>70</v>
      </c>
      <c r="K29" s="162" t="s">
        <v>70</v>
      </c>
      <c r="L29" s="162" t="s">
        <v>70</v>
      </c>
      <c r="M29" s="162" t="s">
        <v>70</v>
      </c>
      <c r="N29" s="162" t="s">
        <v>70</v>
      </c>
      <c r="O29" s="162" t="s">
        <v>343</v>
      </c>
      <c r="P29" s="162" t="s">
        <v>246</v>
      </c>
      <c r="Q29" s="162" t="s">
        <v>246</v>
      </c>
      <c r="R29" s="162" t="s">
        <v>246</v>
      </c>
      <c r="S29" s="162" t="s">
        <v>343</v>
      </c>
      <c r="T29" s="162" t="s">
        <v>612</v>
      </c>
      <c r="U29" s="162" t="s">
        <v>612</v>
      </c>
      <c r="V29" s="192" t="s">
        <v>119</v>
      </c>
      <c r="W29" s="162" t="s">
        <v>104</v>
      </c>
      <c r="X29" s="249" t="s">
        <v>87</v>
      </c>
      <c r="Y29" s="162" t="s">
        <v>146</v>
      </c>
      <c r="Z29" s="162" t="s">
        <v>614</v>
      </c>
      <c r="AA29" s="162" t="s">
        <v>343</v>
      </c>
      <c r="AB29" s="162" t="s">
        <v>246</v>
      </c>
      <c r="AC29" s="162" t="s">
        <v>70</v>
      </c>
      <c r="AD29" s="162" t="s">
        <v>343</v>
      </c>
      <c r="AE29" s="162" t="s">
        <v>616</v>
      </c>
      <c r="AF29" s="162" t="s">
        <v>182</v>
      </c>
      <c r="AG29" s="162" t="s">
        <v>503</v>
      </c>
      <c r="AH29" s="162" t="s">
        <v>197</v>
      </c>
      <c r="AI29" s="162" t="s">
        <v>173</v>
      </c>
      <c r="AJ29" s="162" t="s">
        <v>718</v>
      </c>
      <c r="AK29" s="192" t="s">
        <v>611</v>
      </c>
      <c r="AL29" s="169">
        <v>807.88</v>
      </c>
      <c r="AM29" s="169">
        <v>1615.76</v>
      </c>
      <c r="AN29" s="177">
        <v>1373.4</v>
      </c>
      <c r="AO29" s="169">
        <v>2302.4499999999998</v>
      </c>
    </row>
    <row r="30" spans="2:41" ht="45.75" thickBot="1" x14ac:dyDescent="0.3">
      <c r="C30" s="211" t="s">
        <v>630</v>
      </c>
      <c r="D30" s="211" t="s">
        <v>631</v>
      </c>
      <c r="E30" s="204" t="s">
        <v>632</v>
      </c>
      <c r="F30" s="212" t="s">
        <v>633</v>
      </c>
      <c r="G30" s="212" t="s">
        <v>634</v>
      </c>
      <c r="H30" s="212" t="s">
        <v>50</v>
      </c>
      <c r="I30" s="208" t="s">
        <v>636</v>
      </c>
      <c r="J30" s="213" t="s">
        <v>71</v>
      </c>
      <c r="K30" s="212" t="s">
        <v>75</v>
      </c>
      <c r="L30" s="212" t="s">
        <v>713</v>
      </c>
      <c r="M30" s="212" t="s">
        <v>714</v>
      </c>
      <c r="N30" s="212" t="s">
        <v>69</v>
      </c>
      <c r="O30" s="212" t="s">
        <v>43</v>
      </c>
      <c r="P30" s="212" t="s">
        <v>47</v>
      </c>
      <c r="Q30" s="212" t="s">
        <v>134</v>
      </c>
      <c r="R30" s="212" t="s">
        <v>85</v>
      </c>
      <c r="S30" s="212" t="s">
        <v>94</v>
      </c>
      <c r="T30" s="214" t="s">
        <v>131</v>
      </c>
      <c r="U30" s="212" t="s">
        <v>135</v>
      </c>
      <c r="V30" s="212" t="s">
        <v>118</v>
      </c>
      <c r="W30" s="215" t="s">
        <v>103</v>
      </c>
      <c r="X30" s="216" t="s">
        <v>652</v>
      </c>
      <c r="Y30" s="225" t="s">
        <v>653</v>
      </c>
      <c r="Z30" s="224" t="s">
        <v>654</v>
      </c>
      <c r="AA30" s="224" t="s">
        <v>98</v>
      </c>
      <c r="AB30" s="224" t="s">
        <v>100</v>
      </c>
      <c r="AC30" s="224" t="s">
        <v>715</v>
      </c>
      <c r="AD30" s="226" t="s">
        <v>175</v>
      </c>
      <c r="AE30" s="224" t="s">
        <v>167</v>
      </c>
      <c r="AF30" s="212" t="s">
        <v>181</v>
      </c>
      <c r="AG30" s="212" t="s">
        <v>186</v>
      </c>
      <c r="AH30" s="224" t="s">
        <v>196</v>
      </c>
      <c r="AI30" s="224" t="s">
        <v>172</v>
      </c>
      <c r="AJ30" s="212" t="s">
        <v>663</v>
      </c>
      <c r="AK30" s="223" t="s">
        <v>722</v>
      </c>
      <c r="AL30" s="166" t="s">
        <v>22</v>
      </c>
      <c r="AM30" s="166" t="s">
        <v>23</v>
      </c>
      <c r="AN30" s="167" t="s">
        <v>24</v>
      </c>
      <c r="AO30" s="180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6"/>
  <sheetViews>
    <sheetView showGridLines="0" tabSelected="1" zoomScale="55" zoomScaleNormal="55" zoomScaleSheetLayoutView="40" zoomScalePageLayoutView="40" workbookViewId="0">
      <selection activeCell="H3" sqref="H3"/>
    </sheetView>
  </sheetViews>
  <sheetFormatPr defaultColWidth="9" defaultRowHeight="23.25" x14ac:dyDescent="0.35"/>
  <cols>
    <col min="1" max="1" width="59.42578125" style="261" bestFit="1" customWidth="1"/>
    <col min="2" max="2" width="18" style="261" customWidth="1"/>
    <col min="3" max="3" width="56.85546875" style="259" customWidth="1"/>
    <col min="4" max="6" width="52.5703125" style="262" customWidth="1"/>
    <col min="7" max="16384" width="9" style="259"/>
  </cols>
  <sheetData>
    <row r="1" spans="1:10" ht="46.5" x14ac:dyDescent="0.35">
      <c r="A1" s="283" t="s">
        <v>667</v>
      </c>
      <c r="B1" s="284" t="s">
        <v>668</v>
      </c>
      <c r="C1" s="263" t="s">
        <v>669</v>
      </c>
      <c r="D1" s="263" t="s">
        <v>838</v>
      </c>
      <c r="E1" s="263" t="s">
        <v>838</v>
      </c>
      <c r="F1" s="264" t="str">
        <f>D1</f>
        <v>2026 First Quarter 
Monthly Premium</v>
      </c>
    </row>
    <row r="2" spans="1:10" x14ac:dyDescent="0.35">
      <c r="A2" s="285" t="s">
        <v>726</v>
      </c>
      <c r="B2" s="286">
        <v>7</v>
      </c>
      <c r="C2" s="302">
        <f>VLOOKUP($C$14, '2025'!$A$1:$Q$30,2,FALSE)</f>
        <v>581.66</v>
      </c>
      <c r="D2" s="265">
        <f>INDEX(Table!$B$7:$T$35,MATCH(D$14,Table!$B$7:$B$35,0),MATCH($A2,Table!$B$7:$Z$7,0))</f>
        <v>719.68</v>
      </c>
      <c r="E2" s="265">
        <f>INDEX(Table!$B$7:$T$35,MATCH(E$14,Table!$B$7:$B$35,0),MATCH($A2,Table!$B$7:$Z$7,0))</f>
        <v>1216.57</v>
      </c>
      <c r="F2" s="265">
        <f>INDEX(Table!$B$7:$T$35,MATCH(F$14,Table!$B$7:$B$35,0),MATCH($A2,Table!$B$7:$Z$7,0))</f>
        <v>817.45</v>
      </c>
    </row>
    <row r="3" spans="1:10" x14ac:dyDescent="0.35">
      <c r="A3" s="285" t="s">
        <v>727</v>
      </c>
      <c r="B3" s="286">
        <v>0</v>
      </c>
      <c r="C3" s="302">
        <f>VLOOKUP($C$14, '2025'!$A$1:$Q$30,3,FALSE)</f>
        <v>1163.31</v>
      </c>
      <c r="D3" s="265">
        <f>INDEX(Table!$B$7:$T$35,MATCH(D$14,Table!$B$7:$B$35,0),MATCH($A3,Table!$B$7:$Z$7,0))</f>
        <v>1439.36</v>
      </c>
      <c r="E3" s="265">
        <f>INDEX(Table!$B$7:$T$35,MATCH(E$14,Table!$B$7:$B$35,0),MATCH($A3,Table!$B$7:$Z$7,0))</f>
        <v>2433.14</v>
      </c>
      <c r="F3" s="265">
        <f>INDEX(Table!$B$7:$T$35,MATCH(F$14,Table!$B$7:$B$35,0),MATCH($A3,Table!$B$7:$Z$7,0))</f>
        <v>1634.91</v>
      </c>
    </row>
    <row r="4" spans="1:10" x14ac:dyDescent="0.35">
      <c r="A4" s="285" t="s">
        <v>728</v>
      </c>
      <c r="B4" s="286">
        <v>0</v>
      </c>
      <c r="C4" s="302">
        <f>VLOOKUP($C$14, '2025'!$A$1:$Q$30,4,FALSE)</f>
        <v>988.81</v>
      </c>
      <c r="D4" s="265">
        <f>INDEX(Table!$B$7:$T$35,MATCH(D$14,Table!$B$7:$B$35,0),MATCH($A4,Table!$B$7:$Z$7,0))</f>
        <v>1223.45</v>
      </c>
      <c r="E4" s="265">
        <f>INDEX(Table!$B$7:$T$35,MATCH(E$14,Table!$B$7:$B$35,0),MATCH($A4,Table!$B$7:$Z$7,0))</f>
        <v>2068.1799999999998</v>
      </c>
      <c r="F4" s="265">
        <f>INDEX(Table!$B$7:$T$35,MATCH(F$14,Table!$B$7:$B$35,0),MATCH($A4,Table!$B$7:$Z$7,0))</f>
        <v>1389.67</v>
      </c>
    </row>
    <row r="5" spans="1:10" ht="24" thickBot="1" x14ac:dyDescent="0.4">
      <c r="A5" s="287" t="s">
        <v>729</v>
      </c>
      <c r="B5" s="288">
        <v>0</v>
      </c>
      <c r="C5" s="302">
        <f>VLOOKUP($C$14, '2025'!$A$1:$Q$30,5,FALSE)</f>
        <v>1657.72</v>
      </c>
      <c r="D5" s="265">
        <f>INDEX(Table!$B$7:$T$35,MATCH(D$14,Table!$B$7:$B$35,0),MATCH($A5,Table!$B$7:$Z$7,0))</f>
        <v>2051.09</v>
      </c>
      <c r="E5" s="265">
        <f>INDEX(Table!$B$7:$T$35,MATCH(E$14,Table!$B$7:$B$35,0),MATCH($A5,Table!$B$7:$Z$7,0))</f>
        <v>3467.23</v>
      </c>
      <c r="F5" s="265">
        <f>INDEX(Table!$B$7:$T$35,MATCH(F$14,Table!$B$7:$B$35,0),MATCH($A5,Table!$B$7:$Z$7,0))</f>
        <v>2329.7399999999998</v>
      </c>
    </row>
    <row r="6" spans="1:10" ht="24" thickBot="1" x14ac:dyDescent="0.4">
      <c r="A6" s="289"/>
      <c r="B6" s="289"/>
      <c r="C6" s="289"/>
      <c r="D6" s="289"/>
      <c r="E6" s="289"/>
      <c r="F6" s="289"/>
    </row>
    <row r="7" spans="1:10" x14ac:dyDescent="0.35">
      <c r="A7" s="290" t="s">
        <v>674</v>
      </c>
      <c r="B7" s="291"/>
      <c r="C7" s="266">
        <f>($B$2*C2)+($B$3*C3)+($B$4*C4)+($B$5*C5)</f>
        <v>4071.62</v>
      </c>
      <c r="D7" s="266">
        <f>($B$2*D2)+($B$3*D3)+($B$4*D4)+($B$5*D5)</f>
        <v>5037.7599999999993</v>
      </c>
      <c r="E7" s="266">
        <f>($B$2*E2)+($B$3*E3)+($B$4*E4)+($B$5*E5)</f>
        <v>8515.99</v>
      </c>
      <c r="F7" s="267">
        <f>($B$2*F2)+($B$3*F3)+($B$4*F4)+($B$5*F5)</f>
        <v>5722.1500000000005</v>
      </c>
    </row>
    <row r="8" spans="1:10" ht="24" thickBot="1" x14ac:dyDescent="0.4">
      <c r="A8" s="292" t="s">
        <v>675</v>
      </c>
      <c r="B8" s="293"/>
      <c r="C8" s="268">
        <f>C7*12</f>
        <v>48859.44</v>
      </c>
      <c r="D8" s="269">
        <f>D7*12</f>
        <v>60453.119999999995</v>
      </c>
      <c r="E8" s="269">
        <f>E7*12</f>
        <v>102191.88</v>
      </c>
      <c r="F8" s="270">
        <f>F7*12</f>
        <v>68665.8</v>
      </c>
    </row>
    <row r="9" spans="1:10" ht="24" thickBot="1" x14ac:dyDescent="0.4">
      <c r="A9" s="289"/>
      <c r="B9" s="289"/>
      <c r="C9" s="289"/>
      <c r="D9" s="289"/>
      <c r="E9" s="289"/>
      <c r="F9" s="289"/>
    </row>
    <row r="10" spans="1:10" x14ac:dyDescent="0.35">
      <c r="A10" s="294" t="s">
        <v>676</v>
      </c>
      <c r="B10" s="295"/>
      <c r="C10" s="295"/>
      <c r="D10" s="271">
        <f>D7-$C$7</f>
        <v>966.13999999999942</v>
      </c>
      <c r="E10" s="271">
        <f>E7-$C$7</f>
        <v>4444.37</v>
      </c>
      <c r="F10" s="272">
        <f>F7-$C$7</f>
        <v>1650.5300000000007</v>
      </c>
      <c r="I10" s="260"/>
      <c r="J10" s="260"/>
    </row>
    <row r="11" spans="1:10" x14ac:dyDescent="0.35">
      <c r="A11" s="296" t="s">
        <v>677</v>
      </c>
      <c r="B11" s="297"/>
      <c r="C11" s="297"/>
      <c r="D11" s="273">
        <f>D8-$C$8</f>
        <v>11593.679999999993</v>
      </c>
      <c r="E11" s="273">
        <f>E8-$C$8</f>
        <v>53332.44</v>
      </c>
      <c r="F11" s="274">
        <f>F8-$C$8</f>
        <v>19806.36</v>
      </c>
      <c r="I11" s="260"/>
      <c r="J11" s="260"/>
    </row>
    <row r="12" spans="1:10" ht="51.75" customHeight="1" thickBot="1" x14ac:dyDescent="0.4">
      <c r="A12" s="298" t="s">
        <v>678</v>
      </c>
      <c r="B12" s="299"/>
      <c r="C12" s="299"/>
      <c r="D12" s="275">
        <f>(D8-$C$8)/$C$8</f>
        <v>0.23728638723652978</v>
      </c>
      <c r="E12" s="275">
        <f>(E8-$C$8)/$C$8</f>
        <v>1.0915483272014579</v>
      </c>
      <c r="F12" s="276">
        <f>(F8-$C$8)/$C$8</f>
        <v>0.40537427363064332</v>
      </c>
      <c r="I12" s="260"/>
      <c r="J12" s="260"/>
    </row>
    <row r="13" spans="1:10" x14ac:dyDescent="0.35">
      <c r="A13" s="277"/>
      <c r="B13" s="277"/>
      <c r="C13" s="277"/>
      <c r="D13" s="278"/>
      <c r="E13" s="278"/>
      <c r="F13" s="278"/>
      <c r="I13" s="260"/>
      <c r="J13" s="260"/>
    </row>
    <row r="14" spans="1:10" x14ac:dyDescent="0.35">
      <c r="A14" s="262"/>
      <c r="B14" s="262"/>
      <c r="C14" s="301" t="s">
        <v>205</v>
      </c>
      <c r="D14" s="279" t="s">
        <v>205</v>
      </c>
      <c r="E14" s="279" t="s">
        <v>239</v>
      </c>
      <c r="F14" s="279" t="s">
        <v>818</v>
      </c>
    </row>
    <row r="15" spans="1:10" ht="46.5" x14ac:dyDescent="0.35">
      <c r="A15" s="300" t="s">
        <v>54</v>
      </c>
      <c r="B15" s="300"/>
      <c r="C15" s="302" t="str">
        <f>VLOOKUP($C$14, '2025'!$A$1:$Q$30,6,FALSE)</f>
        <v>In-Network:Individual and $1,200 Famliy</v>
      </c>
      <c r="D15" s="265" t="str">
        <f>INDEX(Table!$B$7:$AA$35,MATCH(D$14,Table!$B$7:$B$35,0),MATCH($A15,Table!$B$7:$AA$7,0))</f>
        <v>In-Network: $775 Individual / $1,550 Family</v>
      </c>
      <c r="E15" s="265" t="str">
        <f>INDEX(Table!$B$7:$AA$35,MATCH(E$14,Table!$B$7:$B$35,0),MATCH($A15,Table!$B$7:$AA$7,0))</f>
        <v>None</v>
      </c>
      <c r="F15" s="265" t="str">
        <f>INDEX(Table!$B$7:$AA$35,MATCH(F$14,Table!$B$7:$B$35,0),MATCH($A15,Table!$B$7:$AA$7,0))</f>
        <v>In-Network: $6,750 Individual / $13,500 Family</v>
      </c>
    </row>
    <row r="16" spans="1:10" x14ac:dyDescent="0.35">
      <c r="A16" s="300" t="s">
        <v>12</v>
      </c>
      <c r="B16" s="300"/>
      <c r="C16" s="302" t="str">
        <f>VLOOKUP($C$14, '2025'!$A$1:$Q$30,17,FALSE)</f>
        <v>Hybrid</v>
      </c>
      <c r="D16" s="265" t="str">
        <f>INDEX(Table!$B$7:$AA$35,MATCH(D$14,Table!$B$7:$B$35,0),MATCH($A16,Table!$B$7:$AA$7,0))</f>
        <v>Hybrid</v>
      </c>
      <c r="E16" s="265" t="str">
        <f>INDEX(Table!$B$7:$AA$35,MATCH(E$14,Table!$B$7:$B$35,0),MATCH($A16,Table!$B$7:$AA$7,0))</f>
        <v>Copay</v>
      </c>
      <c r="F16" s="265" t="str">
        <f>INDEX(Table!$B$7:$AA$35,MATCH(F$14,Table!$B$7:$B$35,0),MATCH($A16,Table!$B$7:$AA$7,0))</f>
        <v>Deductible HSA</v>
      </c>
    </row>
    <row r="17" spans="1:6" ht="46.5" x14ac:dyDescent="0.35">
      <c r="A17" s="300" t="s">
        <v>730</v>
      </c>
      <c r="B17" s="300"/>
      <c r="C17" s="302" t="str">
        <f>VLOOKUP($C$14, '2025'!$A$1:$Q$30,7,FALSE)</f>
        <v>In-Network: $7,900 Individual / $15,800 Family</v>
      </c>
      <c r="D17" s="265" t="str">
        <f>INDEX(Table!$B$7:$AA$35,MATCH(D$14,Table!$B$7:$B$35,0),MATCH($A17,Table!$B$7:$AA$7,0))</f>
        <v>In-Network: $10,150 Individual / $20,300 Family</v>
      </c>
      <c r="E17" s="265" t="str">
        <f>INDEX(Table!$B$7:$AA$35,MATCH(E$14,Table!$B$7:$B$35,0),MATCH($A17,Table!$B$7:$AA$7,0))</f>
        <v>In-Network: $9,200 Individual / $18,400 Family</v>
      </c>
      <c r="F17" s="265" t="str">
        <f>INDEX(Table!$B$7:$AA$35,MATCH(F$14,Table!$B$7:$B$35,0),MATCH($A17,Table!$B$7:$AA$7,0))</f>
        <v>In-Network: $6,750 Individual / $13,500 Family</v>
      </c>
    </row>
    <row r="18" spans="1:6" x14ac:dyDescent="0.35">
      <c r="A18" s="300" t="s">
        <v>50</v>
      </c>
      <c r="B18" s="300"/>
      <c r="C18" s="302" t="str">
        <f>VLOOKUP($C$14, '2025'!$A$1:$Q$30,8,FALSE)</f>
        <v>N/A</v>
      </c>
      <c r="D18" s="265" t="str">
        <f>INDEX(Table!$B$7:$AA$35,MATCH(D$14,Table!$B$7:$B$35,0),MATCH($A18,Table!$B$7:$AA$7,0))</f>
        <v>Covered at 100%</v>
      </c>
      <c r="E18" s="265" t="str">
        <f>INDEX(Table!$B$7:$AA$35,MATCH(E$14,Table!$B$7:$B$35,0),MATCH($A18,Table!$B$7:$AA$7,0))</f>
        <v>None</v>
      </c>
      <c r="F18" s="265" t="str">
        <f>INDEX(Table!$B$7:$AA$35,MATCH(F$14,Table!$B$7:$B$35,0),MATCH($A18,Table!$B$7:$AA$7,0))</f>
        <v>Covered at 100%</v>
      </c>
    </row>
    <row r="19" spans="1:6" x14ac:dyDescent="0.35">
      <c r="A19" s="300" t="s">
        <v>15</v>
      </c>
      <c r="B19" s="300"/>
      <c r="C19" s="302" t="str">
        <f>VLOOKUP($C$14, '2025'!$A$1:$Q$30,9,FALSE)</f>
        <v>No</v>
      </c>
      <c r="D19" s="265" t="str">
        <f>INDEX(Table!$B$7:$AA$35,MATCH(D$14,Table!$B$7:$B$35,0),MATCH($A19,Table!$B$7:$AA$7,0))</f>
        <v>No</v>
      </c>
      <c r="E19" s="265" t="str">
        <f>INDEX(Table!$B$7:$AA$35,MATCH(E$14,Table!$B$7:$B$35,0),MATCH($A19,Table!$B$7:$AA$7,0))</f>
        <v>No</v>
      </c>
      <c r="F19" s="265" t="str">
        <f>INDEX(Table!$B$7:$AA$35,MATCH(F$14,Table!$B$7:$B$35,0),MATCH($A19,Table!$B$7:$AA$7,0))</f>
        <v>Yes</v>
      </c>
    </row>
    <row r="20" spans="1:6" ht="47.1" customHeight="1" x14ac:dyDescent="0.35">
      <c r="A20" s="300" t="s">
        <v>43</v>
      </c>
      <c r="B20" s="300"/>
      <c r="C20" s="302" t="str">
        <f>VLOOKUP($C$14, '2025'!$A$1:$Q$30,10,FALSE)</f>
        <v>$25 copay per visit, subject to deductible</v>
      </c>
      <c r="D20" s="265" t="str">
        <f>INDEX(Table!$B$7:$AA$35,MATCH(D$14,Table!$B$7:$B$35,0),MATCH($A20,Table!$B$7:$AA$7,0))</f>
        <v>$25 copay per visit, subject to deductible</v>
      </c>
      <c r="E20" s="265" t="str">
        <f>INDEX(Table!$B$7:$AA$35,MATCH(E$14,Table!$B$7:$B$35,0),MATCH($A20,Table!$B$7:$AA$7,0))</f>
        <v>$40 copay per visit</v>
      </c>
      <c r="F20" s="265" t="str">
        <f>INDEX(Table!$B$7:$AA$35,MATCH(F$14,Table!$B$7:$B$35,0),MATCH($A20,Table!$B$7:$AA$7,0))</f>
        <v>Covered at 100%, subject to the deductible</v>
      </c>
    </row>
    <row r="21" spans="1:6" ht="47.1" customHeight="1" x14ac:dyDescent="0.35">
      <c r="A21" s="300" t="s">
        <v>47</v>
      </c>
      <c r="B21" s="300"/>
      <c r="C21" s="302" t="str">
        <f>VLOOKUP($C$14, '2025'!$A$1:$Q$30,11,FALSE)</f>
        <v>$40 copay per visit, subject to deductible</v>
      </c>
      <c r="D21" s="265" t="str">
        <f>INDEX(Table!$B$7:$AA$35,MATCH(D$14,Table!$B$7:$B$35,0),MATCH($A21,Table!$B$7:$AA$7,0))</f>
        <v>$40 copay per visit, subject to deductible</v>
      </c>
      <c r="E21" s="265" t="str">
        <f>INDEX(Table!$B$7:$AA$35,MATCH(E$14,Table!$B$7:$B$35,0),MATCH($A21,Table!$B$7:$AA$7,0))</f>
        <v>$70 copay per visit</v>
      </c>
      <c r="F21" s="265" t="str">
        <f>INDEX(Table!$B$7:$AA$35,MATCH(F$14,Table!$B$7:$B$35,0),MATCH($A21,Table!$B$7:$AA$7,0))</f>
        <v>Covered at 100%, subject to the deductible</v>
      </c>
    </row>
    <row r="22" spans="1:6" ht="77.099999999999994" customHeight="1" x14ac:dyDescent="0.35">
      <c r="A22" s="300" t="s">
        <v>118</v>
      </c>
      <c r="B22" s="300"/>
      <c r="C22" s="302" t="str">
        <f>VLOOKUP($C$14, '2025'!$A$1:$Q$30,12,FALSE)</f>
        <v>Subject to $1,000 copay per admission for unlimited days, subject to the deductible</v>
      </c>
      <c r="D22" s="265" t="str">
        <f>INDEX(Table!$B$7:$AA$35,MATCH(D$14,Table!$B$7:$B$35,0),MATCH($A22,Table!$B$7:$AA$7,0))</f>
        <v>Subject to $1,000 copay per admission for unlimited days, subject to the deductible</v>
      </c>
      <c r="E22" s="265" t="str">
        <f>INDEX(Table!$B$7:$AA$35,MATCH(E$14,Table!$B$7:$B$35,0),MATCH($A22,Table!$B$7:$AA$7,0))</f>
        <v>Subject to $1,500 copay per admission for unlimited days</v>
      </c>
      <c r="F22" s="265" t="str">
        <f>INDEX(Table!$B$7:$AA$35,MATCH(F$14,Table!$B$7:$B$35,0),MATCH($A22,Table!$B$7:$AA$7,0))</f>
        <v>Covered at 100%  per admission for unlimited days, subject to the deductible</v>
      </c>
    </row>
    <row r="23" spans="1:6" ht="46.5" x14ac:dyDescent="0.35">
      <c r="A23" s="300" t="s">
        <v>135</v>
      </c>
      <c r="B23" s="300"/>
      <c r="C23" s="302" t="str">
        <f>VLOOKUP($C$14, '2025'!$A$1:$Q$30,13,FALSE)</f>
        <v>$150 copay per visit, subject to deductible</v>
      </c>
      <c r="D23" s="265" t="str">
        <f>INDEX(Table!$B$7:$AA$35,MATCH(D$14,Table!$B$7:$B$35,0),MATCH($A23,Table!$B$7:$AA$7,0))</f>
        <v>$150 copay per visit, subject to deductible</v>
      </c>
      <c r="E23" s="265" t="str">
        <f>INDEX(Table!$B$7:$AA$35,MATCH(E$14,Table!$B$7:$B$35,0),MATCH($A23,Table!$B$7:$AA$7,0))</f>
        <v>$650 copay</v>
      </c>
      <c r="F23" s="265" t="str">
        <f>INDEX(Table!$B$7:$AA$35,MATCH(F$14,Table!$B$7:$B$35,0),MATCH($A23,Table!$B$7:$AA$7,0))</f>
        <v>Covered at 100%, subject to the deductible</v>
      </c>
    </row>
    <row r="24" spans="1:6" ht="46.5" customHeight="1" x14ac:dyDescent="0.35">
      <c r="A24" s="300" t="s">
        <v>131</v>
      </c>
      <c r="B24" s="300"/>
      <c r="C24" s="302" t="str">
        <f>VLOOKUP($C$14, '2025'!$A$1:$Q$30,14,FALSE)</f>
        <v>$150 copay per visit, subject to deductible</v>
      </c>
      <c r="D24" s="265" t="str">
        <f>INDEX(Table!$B$7:$AA$35,MATCH(D$14,Table!$B$7:$B$35,0),MATCH($A24,Table!$B$7:$AA$7,0))</f>
        <v>$150 copay per visit, subject to deductible</v>
      </c>
      <c r="E24" s="265" t="str">
        <f>INDEX(Table!$B$7:$AA$35,MATCH(E$14,Table!$B$7:$B$35,0),MATCH($A24,Table!$B$7:$AA$7,0))</f>
        <v>$650 copay per visit</v>
      </c>
      <c r="F24" s="265" t="str">
        <f>INDEX(Table!$B$7:$AA$35,MATCH(F$14,Table!$B$7:$B$35,0),MATCH($A24,Table!$B$7:$AA$7,0))</f>
        <v>Covered at 100%, subject to the deductible</v>
      </c>
    </row>
    <row r="25" spans="1:6" ht="123.75" customHeight="1" x14ac:dyDescent="0.35">
      <c r="A25" s="303" t="s">
        <v>110</v>
      </c>
      <c r="B25" s="303"/>
      <c r="C25" s="302" t="str">
        <f>VLOOKUP($C$14, '2025'!$A$1:$Q$30,15,FALSE)</f>
        <v>$10/$35/$70</v>
      </c>
      <c r="D25" s="265" t="str">
        <f>INDEX(Table!$B$7:$AA$35,MATCH(D$14,Table!$B$7:$B$35,0),MATCH($A25,Table!$B$7:$AA$7,0))</f>
        <v>$10/$35/$70</v>
      </c>
      <c r="E25" s="265" t="str">
        <f>INDEX(Table!$B$7:$AA$35,MATCH(E$14,Table!$B$7:$B$35,0),MATCH($A25,Table!$B$7:$AA$7,0))</f>
        <v>$15/40%/50%
&lt;br&gt;$0 generics for kids up to age 19</v>
      </c>
      <c r="F25" s="265" t="str">
        <f>INDEX(Table!$B$7:$AA$35,MATCH(F$14,Table!$B$7:$B$35,0),MATCH($A25,Table!$B$7:$AA$7,0))</f>
        <v>Covered at 100%, subject to the plan deductible. 
&lt;br&gt;$0 generics for kids up to age 19, subject to the plan deductible
&lt;br&gt; Preventive drugs are not subject to the deductible; they are subject to the copay or coinsurance, if applicable.</v>
      </c>
    </row>
    <row r="26" spans="1:6" ht="27" customHeight="1" x14ac:dyDescent="0.35">
      <c r="A26" s="347" t="s">
        <v>679</v>
      </c>
      <c r="B26" s="348"/>
      <c r="C26" s="348"/>
      <c r="D26" s="348"/>
      <c r="E26" s="348"/>
      <c r="F26" s="349"/>
    </row>
  </sheetData>
  <sheetProtection selectLockedCells="1"/>
  <mergeCells count="1">
    <mergeCell ref="A26:F26"/>
  </mergeCells>
  <conditionalFormatting sqref="A26">
    <cfRule type="cellIs" dxfId="14" priority="2" stopIfTrue="1" operator="lessThan">
      <formula>0</formula>
    </cfRule>
  </conditionalFormatting>
  <conditionalFormatting sqref="D10:F13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25" right="0.25" top="0.75" bottom="0.75" header="0.3" footer="0.3"/>
  <pageSetup scale="45" orientation="landscape" r:id="rId1"/>
  <headerFooter>
    <oddHeader>&amp;L&amp;"-,Bold"&amp;22
Barefoot Septic   Effective dates: 12.1.22 to 11.30.2023&amp;C&amp;G&amp;R&amp;"-,Bold"&amp;22&amp;K00B050Ben Clarke
Phone: 585-414-4794
Email: ben@benclarkeagency.com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Table!$B$8:$B$31</xm:f>
          </x14:formula1>
          <xm:sqref>D14:F14</xm:sqref>
        </x14:dataValidation>
        <x14:dataValidation type="list" allowBlank="1" showInputMessage="1" showErrorMessage="1" xr:uid="{5C1CE4ED-D51A-44D8-8E04-46A977577F99}">
          <x14:formula1>
            <xm:f>'2025'!$A$2:$A$30</xm:f>
          </x14:formula1>
          <xm:sqref>C14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30E1-60DF-4102-A4BF-DAF268A182A8}">
  <dimension ref="A1:FI30"/>
  <sheetViews>
    <sheetView workbookViewId="0">
      <selection activeCell="A18" sqref="A18"/>
    </sheetView>
  </sheetViews>
  <sheetFormatPr defaultColWidth="14.5703125" defaultRowHeight="15" x14ac:dyDescent="0.25"/>
  <cols>
    <col min="1" max="1" width="32.28515625" bestFit="1" customWidth="1"/>
    <col min="2" max="2" width="10.85546875" bestFit="1" customWidth="1"/>
    <col min="3" max="3" width="24.140625" bestFit="1" customWidth="1"/>
    <col min="4" max="4" width="25.28515625" bestFit="1" customWidth="1"/>
    <col min="5" max="5" width="10.42578125" bestFit="1" customWidth="1"/>
    <col min="6" max="6" width="39.85546875" bestFit="1" customWidth="1"/>
    <col min="7" max="7" width="29.42578125" bestFit="1" customWidth="1"/>
    <col min="8" max="8" width="14.85546875" bestFit="1" customWidth="1"/>
    <col min="9" max="9" width="10.42578125" bestFit="1" customWidth="1"/>
    <col min="10" max="11" width="36.5703125" bestFit="1" customWidth="1"/>
    <col min="12" max="12" width="70.7109375" bestFit="1" customWidth="1"/>
    <col min="13" max="14" width="36.5703125" bestFit="1" customWidth="1"/>
    <col min="15" max="15" width="132.140625" bestFit="1" customWidth="1"/>
    <col min="16" max="16" width="17.85546875" bestFit="1" customWidth="1"/>
    <col min="17" max="17" width="13.5703125" bestFit="1" customWidth="1"/>
  </cols>
  <sheetData>
    <row r="1" spans="1:165" x14ac:dyDescent="0.25">
      <c r="A1" s="282" t="s">
        <v>5</v>
      </c>
      <c r="B1" s="282" t="s">
        <v>726</v>
      </c>
      <c r="C1" s="282" t="s">
        <v>727</v>
      </c>
      <c r="D1" s="282" t="s">
        <v>728</v>
      </c>
      <c r="E1" s="282" t="s">
        <v>729</v>
      </c>
      <c r="F1" s="282" t="s">
        <v>54</v>
      </c>
      <c r="G1" s="282" t="s">
        <v>730</v>
      </c>
      <c r="H1" s="282" t="s">
        <v>50</v>
      </c>
      <c r="I1" s="282" t="s">
        <v>15</v>
      </c>
      <c r="J1" s="282" t="s">
        <v>43</v>
      </c>
      <c r="K1" s="282" t="s">
        <v>47</v>
      </c>
      <c r="L1" s="282" t="s">
        <v>118</v>
      </c>
      <c r="M1" s="282" t="s">
        <v>135</v>
      </c>
      <c r="N1" s="282" t="s">
        <v>131</v>
      </c>
      <c r="O1" s="282" t="s">
        <v>110</v>
      </c>
      <c r="P1" s="282" t="s">
        <v>733</v>
      </c>
      <c r="Q1" s="282" t="s">
        <v>12</v>
      </c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82"/>
      <c r="BD1" s="282"/>
      <c r="BE1" s="282"/>
      <c r="BF1" s="282"/>
      <c r="BG1" s="282"/>
      <c r="BH1" s="282"/>
      <c r="BI1" s="282"/>
      <c r="BJ1" s="282"/>
      <c r="BK1" s="282"/>
      <c r="BL1" s="282"/>
      <c r="BM1" s="282"/>
      <c r="BN1" s="282"/>
      <c r="BO1" s="282"/>
      <c r="BP1" s="282"/>
      <c r="BQ1" s="282"/>
      <c r="BR1" s="282"/>
      <c r="BS1" s="282"/>
      <c r="BT1" s="282"/>
      <c r="BU1" s="282"/>
      <c r="BV1" s="282"/>
      <c r="BW1" s="282"/>
      <c r="BX1" s="282"/>
      <c r="BY1" s="282"/>
      <c r="BZ1" s="282"/>
      <c r="CA1" s="282"/>
      <c r="CB1" s="282"/>
      <c r="CC1" s="282"/>
      <c r="CD1" s="282"/>
      <c r="CE1" s="282"/>
      <c r="CF1" s="282"/>
      <c r="CG1" s="282"/>
      <c r="CH1" s="282"/>
      <c r="CI1" s="282"/>
      <c r="CJ1" s="282"/>
      <c r="CK1" s="282"/>
      <c r="CL1" s="282"/>
      <c r="CM1" s="282"/>
      <c r="CN1" s="282"/>
      <c r="CO1" s="282"/>
      <c r="CP1" s="282"/>
      <c r="CQ1" s="282"/>
      <c r="CR1" s="282"/>
      <c r="CS1" s="282"/>
      <c r="CT1" s="282"/>
      <c r="CU1" s="282"/>
      <c r="CV1" s="282"/>
      <c r="CW1" s="282"/>
      <c r="CX1" s="282"/>
      <c r="CY1" s="282"/>
      <c r="CZ1" s="282"/>
      <c r="DA1" s="282"/>
      <c r="DB1" s="282"/>
      <c r="DC1" s="282"/>
      <c r="DD1" s="282"/>
      <c r="DE1" s="282"/>
      <c r="DF1" s="282"/>
      <c r="DG1" s="282"/>
      <c r="DH1" s="282"/>
      <c r="DI1" s="282"/>
      <c r="DJ1" s="282"/>
      <c r="DK1" s="282"/>
      <c r="DL1" s="282"/>
      <c r="DM1" s="282"/>
      <c r="DN1" s="282"/>
      <c r="DO1" s="282"/>
      <c r="DP1" s="282"/>
      <c r="DQ1" s="282"/>
      <c r="DR1" s="282"/>
      <c r="DS1" s="282"/>
      <c r="DT1" s="282"/>
      <c r="DU1" s="282"/>
      <c r="DV1" s="282"/>
      <c r="DW1" s="282"/>
      <c r="DX1" s="282"/>
      <c r="DY1" s="282"/>
      <c r="DZ1" s="282"/>
      <c r="EA1" s="282"/>
      <c r="EB1" s="282"/>
      <c r="EC1" s="282"/>
      <c r="ED1" s="282"/>
      <c r="EE1" s="282"/>
      <c r="EF1" s="282"/>
      <c r="EG1" s="282"/>
      <c r="EH1" s="282"/>
      <c r="EI1" s="282"/>
      <c r="EJ1" s="282"/>
      <c r="EK1" s="282"/>
      <c r="EL1" s="282"/>
      <c r="EM1" s="282"/>
      <c r="EN1" s="282"/>
      <c r="EO1" s="282"/>
      <c r="EP1" s="282"/>
      <c r="EQ1" s="282"/>
      <c r="ER1" s="282"/>
      <c r="ES1" s="282"/>
      <c r="ET1" s="282"/>
      <c r="EU1" s="282"/>
      <c r="EV1" s="282"/>
      <c r="EW1" s="282"/>
      <c r="EX1" s="282"/>
      <c r="EY1" s="282"/>
      <c r="EZ1" s="282"/>
      <c r="FA1" s="282"/>
      <c r="FB1" s="282"/>
      <c r="FC1" s="282"/>
      <c r="FD1" s="282"/>
      <c r="FE1" s="282"/>
      <c r="FF1" s="282"/>
      <c r="FG1" s="282"/>
      <c r="FH1" s="282"/>
      <c r="FI1" s="282"/>
    </row>
    <row r="2" spans="1:165" x14ac:dyDescent="0.25">
      <c r="A2" t="s">
        <v>332</v>
      </c>
      <c r="B2" s="281">
        <v>1180.67</v>
      </c>
      <c r="C2" s="281">
        <v>2361.34</v>
      </c>
      <c r="D2" s="281">
        <v>2007.14</v>
      </c>
      <c r="E2" s="281">
        <v>3364.91</v>
      </c>
      <c r="F2" t="s">
        <v>66</v>
      </c>
      <c r="G2" t="s">
        <v>774</v>
      </c>
      <c r="H2" t="s">
        <v>66</v>
      </c>
      <c r="I2" t="s">
        <v>16</v>
      </c>
      <c r="J2" t="s">
        <v>343</v>
      </c>
      <c r="K2" t="s">
        <v>345</v>
      </c>
      <c r="L2" t="s">
        <v>379</v>
      </c>
      <c r="M2" t="s">
        <v>87</v>
      </c>
      <c r="N2" t="s">
        <v>87</v>
      </c>
      <c r="O2" t="s">
        <v>375</v>
      </c>
      <c r="P2" t="s">
        <v>740</v>
      </c>
      <c r="Q2" t="s">
        <v>245</v>
      </c>
    </row>
    <row r="3" spans="1:165" x14ac:dyDescent="0.25">
      <c r="A3" t="s">
        <v>599</v>
      </c>
      <c r="B3" s="281">
        <v>1175.1199999999999</v>
      </c>
      <c r="C3" s="281">
        <v>2350.2399999999998</v>
      </c>
      <c r="D3" s="281">
        <v>1997.71</v>
      </c>
      <c r="E3" s="281">
        <v>3349.1</v>
      </c>
      <c r="F3" t="s">
        <v>66</v>
      </c>
      <c r="G3" t="s">
        <v>807</v>
      </c>
      <c r="H3" t="s">
        <v>66</v>
      </c>
      <c r="I3" t="s">
        <v>16</v>
      </c>
      <c r="J3" t="s">
        <v>343</v>
      </c>
      <c r="K3" t="s">
        <v>305</v>
      </c>
      <c r="L3" t="s">
        <v>379</v>
      </c>
      <c r="M3" t="s">
        <v>785</v>
      </c>
      <c r="N3" t="s">
        <v>787</v>
      </c>
      <c r="O3" t="s">
        <v>793</v>
      </c>
      <c r="P3" t="s">
        <v>741</v>
      </c>
      <c r="Q3" t="s">
        <v>245</v>
      </c>
    </row>
    <row r="4" spans="1:165" x14ac:dyDescent="0.25">
      <c r="A4" t="s">
        <v>238</v>
      </c>
      <c r="B4" s="281">
        <v>1011.3</v>
      </c>
      <c r="C4" s="281">
        <v>2022.6</v>
      </c>
      <c r="D4" s="281">
        <v>1719.21</v>
      </c>
      <c r="E4" s="281">
        <v>2882.2</v>
      </c>
      <c r="F4" t="s">
        <v>66</v>
      </c>
      <c r="G4" t="s">
        <v>792</v>
      </c>
      <c r="H4" t="s">
        <v>66</v>
      </c>
      <c r="I4" t="s">
        <v>16</v>
      </c>
      <c r="J4" t="s">
        <v>305</v>
      </c>
      <c r="K4" t="s">
        <v>48</v>
      </c>
      <c r="L4" t="s">
        <v>743</v>
      </c>
      <c r="M4" t="s">
        <v>744</v>
      </c>
      <c r="N4" t="s">
        <v>584</v>
      </c>
      <c r="O4" t="s">
        <v>794</v>
      </c>
      <c r="P4" t="s">
        <v>742</v>
      </c>
      <c r="Q4" t="s">
        <v>245</v>
      </c>
    </row>
    <row r="5" spans="1:165" x14ac:dyDescent="0.25">
      <c r="A5" t="s">
        <v>600</v>
      </c>
      <c r="B5" s="281">
        <v>1175.94</v>
      </c>
      <c r="C5" s="281">
        <v>2351.89</v>
      </c>
      <c r="D5" s="281">
        <v>1999.11</v>
      </c>
      <c r="E5" s="281">
        <v>3351.43</v>
      </c>
      <c r="F5" t="s">
        <v>66</v>
      </c>
      <c r="G5" t="s">
        <v>808</v>
      </c>
      <c r="H5" t="s">
        <v>66</v>
      </c>
      <c r="I5" t="s">
        <v>16</v>
      </c>
      <c r="J5" t="s">
        <v>246</v>
      </c>
      <c r="K5" t="s">
        <v>44</v>
      </c>
      <c r="L5" t="s">
        <v>379</v>
      </c>
      <c r="M5" t="s">
        <v>613</v>
      </c>
      <c r="N5" t="s">
        <v>612</v>
      </c>
      <c r="O5" t="s">
        <v>795</v>
      </c>
      <c r="P5" t="s">
        <v>745</v>
      </c>
      <c r="Q5" t="s">
        <v>245</v>
      </c>
    </row>
    <row r="6" spans="1:165" x14ac:dyDescent="0.25">
      <c r="A6" t="s">
        <v>239</v>
      </c>
      <c r="B6" s="281">
        <v>1029.1199999999999</v>
      </c>
      <c r="C6" s="281">
        <v>2058.23</v>
      </c>
      <c r="D6" s="281">
        <v>1749.5</v>
      </c>
      <c r="E6" s="281">
        <v>2932.98</v>
      </c>
      <c r="F6" t="s">
        <v>66</v>
      </c>
      <c r="G6" t="s">
        <v>792</v>
      </c>
      <c r="H6" t="s">
        <v>66</v>
      </c>
      <c r="I6" t="s">
        <v>16</v>
      </c>
      <c r="J6" t="s">
        <v>44</v>
      </c>
      <c r="K6" t="s">
        <v>248</v>
      </c>
      <c r="L6" t="s">
        <v>747</v>
      </c>
      <c r="M6" t="s">
        <v>744</v>
      </c>
      <c r="N6" t="s">
        <v>584</v>
      </c>
      <c r="O6" t="s">
        <v>796</v>
      </c>
      <c r="P6" t="s">
        <v>746</v>
      </c>
      <c r="Q6" t="s">
        <v>245</v>
      </c>
    </row>
    <row r="7" spans="1:165" x14ac:dyDescent="0.25">
      <c r="A7" t="s">
        <v>489</v>
      </c>
      <c r="B7" s="281">
        <v>1160.99</v>
      </c>
      <c r="C7" s="281">
        <v>2321.98</v>
      </c>
      <c r="D7" s="281">
        <v>1973.69</v>
      </c>
      <c r="E7" s="281">
        <v>3308.83</v>
      </c>
      <c r="F7" t="s">
        <v>66</v>
      </c>
      <c r="G7" t="s">
        <v>809</v>
      </c>
      <c r="H7" t="s">
        <v>66</v>
      </c>
      <c r="I7" t="s">
        <v>16</v>
      </c>
      <c r="J7" t="s">
        <v>305</v>
      </c>
      <c r="K7" t="s">
        <v>247</v>
      </c>
      <c r="L7" t="s">
        <v>496</v>
      </c>
      <c r="M7" t="s">
        <v>498</v>
      </c>
      <c r="N7" t="s">
        <v>320</v>
      </c>
      <c r="O7" t="s">
        <v>795</v>
      </c>
      <c r="P7" t="s">
        <v>748</v>
      </c>
      <c r="Q7" t="s">
        <v>245</v>
      </c>
    </row>
    <row r="8" spans="1:165" x14ac:dyDescent="0.25">
      <c r="A8" t="s">
        <v>776</v>
      </c>
      <c r="B8" s="281">
        <v>1033.17</v>
      </c>
      <c r="C8" s="281">
        <v>2066.33</v>
      </c>
      <c r="D8" s="281">
        <v>1756.38</v>
      </c>
      <c r="E8" s="281">
        <v>2944.53</v>
      </c>
      <c r="F8" t="s">
        <v>66</v>
      </c>
      <c r="G8" t="s">
        <v>810</v>
      </c>
      <c r="H8" t="s">
        <v>66</v>
      </c>
      <c r="I8" t="s">
        <v>16</v>
      </c>
      <c r="J8" t="s">
        <v>777</v>
      </c>
      <c r="K8" t="s">
        <v>778</v>
      </c>
      <c r="L8" t="s">
        <v>784</v>
      </c>
      <c r="M8" t="s">
        <v>786</v>
      </c>
      <c r="N8" t="s">
        <v>786</v>
      </c>
      <c r="O8" t="s">
        <v>797</v>
      </c>
      <c r="P8" t="s">
        <v>775</v>
      </c>
      <c r="Q8" t="s">
        <v>245</v>
      </c>
    </row>
    <row r="9" spans="1:165" x14ac:dyDescent="0.25">
      <c r="A9" t="s">
        <v>333</v>
      </c>
      <c r="B9" s="281">
        <v>875.46</v>
      </c>
      <c r="C9" s="281">
        <v>1750.92</v>
      </c>
      <c r="D9" s="281">
        <v>1488.28</v>
      </c>
      <c r="E9" s="281">
        <v>2495.0500000000002</v>
      </c>
      <c r="F9" t="s">
        <v>779</v>
      </c>
      <c r="G9" t="s">
        <v>792</v>
      </c>
      <c r="H9" t="s">
        <v>53</v>
      </c>
      <c r="I9" t="s">
        <v>16</v>
      </c>
      <c r="J9" t="s">
        <v>750</v>
      </c>
      <c r="K9" t="s">
        <v>751</v>
      </c>
      <c r="L9" t="s">
        <v>380</v>
      </c>
      <c r="M9" t="s">
        <v>133</v>
      </c>
      <c r="N9" t="s">
        <v>466</v>
      </c>
      <c r="O9" t="s">
        <v>752</v>
      </c>
      <c r="P9" t="s">
        <v>749</v>
      </c>
      <c r="Q9" t="s">
        <v>13</v>
      </c>
    </row>
    <row r="10" spans="1:165" x14ac:dyDescent="0.25">
      <c r="A10" t="s">
        <v>334</v>
      </c>
      <c r="B10" s="281">
        <v>1033.21</v>
      </c>
      <c r="C10" s="281">
        <v>2066.4299999999998</v>
      </c>
      <c r="D10" s="281">
        <v>1756.46</v>
      </c>
      <c r="E10" s="281">
        <v>2944.66</v>
      </c>
      <c r="F10" t="s">
        <v>213</v>
      </c>
      <c r="G10" t="s">
        <v>811</v>
      </c>
      <c r="H10" t="s">
        <v>53</v>
      </c>
      <c r="I10" t="s">
        <v>16</v>
      </c>
      <c r="J10" t="s">
        <v>46</v>
      </c>
      <c r="K10" t="s">
        <v>49</v>
      </c>
      <c r="L10" t="s">
        <v>224</v>
      </c>
      <c r="M10" t="s">
        <v>133</v>
      </c>
      <c r="N10" t="s">
        <v>133</v>
      </c>
      <c r="O10" t="s">
        <v>223</v>
      </c>
      <c r="P10" t="s">
        <v>753</v>
      </c>
      <c r="Q10" t="s">
        <v>13</v>
      </c>
    </row>
    <row r="11" spans="1:165" x14ac:dyDescent="0.25">
      <c r="A11" t="s">
        <v>299</v>
      </c>
      <c r="B11" s="281">
        <v>968.32</v>
      </c>
      <c r="C11" s="281">
        <v>1936.63</v>
      </c>
      <c r="D11" s="281">
        <v>1646.14</v>
      </c>
      <c r="E11" s="281">
        <v>2759.7</v>
      </c>
      <c r="F11" t="s">
        <v>790</v>
      </c>
      <c r="G11" t="s">
        <v>446</v>
      </c>
      <c r="H11" t="s">
        <v>51</v>
      </c>
      <c r="I11" t="s">
        <v>16</v>
      </c>
      <c r="J11" t="s">
        <v>46</v>
      </c>
      <c r="K11" t="s">
        <v>49</v>
      </c>
      <c r="L11" t="s">
        <v>119</v>
      </c>
      <c r="M11" t="s">
        <v>756</v>
      </c>
      <c r="N11" t="s">
        <v>756</v>
      </c>
      <c r="O11" t="s">
        <v>795</v>
      </c>
      <c r="P11" t="s">
        <v>754</v>
      </c>
      <c r="Q11" t="s">
        <v>13</v>
      </c>
    </row>
    <row r="12" spans="1:165" x14ac:dyDescent="0.25">
      <c r="A12" t="s">
        <v>506</v>
      </c>
      <c r="B12" s="281">
        <v>806.74</v>
      </c>
      <c r="C12" s="281">
        <v>1613.48</v>
      </c>
      <c r="D12" s="281">
        <v>1371.46</v>
      </c>
      <c r="E12" s="281">
        <v>2299.21</v>
      </c>
      <c r="F12" t="s">
        <v>780</v>
      </c>
      <c r="G12" t="s">
        <v>792</v>
      </c>
      <c r="H12" t="s">
        <v>512</v>
      </c>
      <c r="I12" t="s">
        <v>16</v>
      </c>
      <c r="J12" t="s">
        <v>49</v>
      </c>
      <c r="K12" t="s">
        <v>227</v>
      </c>
      <c r="L12" t="s">
        <v>526</v>
      </c>
      <c r="M12" t="s">
        <v>756</v>
      </c>
      <c r="N12" t="s">
        <v>756</v>
      </c>
      <c r="O12" t="s">
        <v>798</v>
      </c>
      <c r="P12" t="s">
        <v>755</v>
      </c>
      <c r="Q12" t="s">
        <v>13</v>
      </c>
    </row>
    <row r="13" spans="1:165" x14ac:dyDescent="0.25">
      <c r="A13" t="s">
        <v>601</v>
      </c>
      <c r="B13" s="281">
        <v>1152.28</v>
      </c>
      <c r="C13" s="281">
        <v>2304.5700000000002</v>
      </c>
      <c r="D13" s="281">
        <v>1958.89</v>
      </c>
      <c r="E13" s="281">
        <v>3284</v>
      </c>
      <c r="F13" t="s">
        <v>692</v>
      </c>
      <c r="G13" t="s">
        <v>761</v>
      </c>
      <c r="H13" t="s">
        <v>51</v>
      </c>
      <c r="I13" t="s">
        <v>16</v>
      </c>
      <c r="J13" t="s">
        <v>343</v>
      </c>
      <c r="K13" t="s">
        <v>246</v>
      </c>
      <c r="L13" t="s">
        <v>119</v>
      </c>
      <c r="M13" t="s">
        <v>612</v>
      </c>
      <c r="N13" t="s">
        <v>612</v>
      </c>
      <c r="O13" t="s">
        <v>799</v>
      </c>
      <c r="P13" t="s">
        <v>757</v>
      </c>
      <c r="Q13" t="s">
        <v>13</v>
      </c>
    </row>
    <row r="14" spans="1:165" x14ac:dyDescent="0.25">
      <c r="A14" t="s">
        <v>300</v>
      </c>
      <c r="B14" s="281">
        <v>972.57</v>
      </c>
      <c r="C14" s="281">
        <v>1945.14</v>
      </c>
      <c r="D14" s="281">
        <v>1653.37</v>
      </c>
      <c r="E14" s="281">
        <v>2771.82</v>
      </c>
      <c r="F14" t="s">
        <v>759</v>
      </c>
      <c r="G14" t="s">
        <v>812</v>
      </c>
      <c r="H14" t="s">
        <v>51</v>
      </c>
      <c r="I14" t="s">
        <v>16</v>
      </c>
      <c r="J14" t="s">
        <v>44</v>
      </c>
      <c r="K14" t="s">
        <v>48</v>
      </c>
      <c r="L14" t="s">
        <v>119</v>
      </c>
      <c r="M14" t="s">
        <v>320</v>
      </c>
      <c r="N14" t="s">
        <v>320</v>
      </c>
      <c r="O14" t="s">
        <v>800</v>
      </c>
      <c r="P14" t="s">
        <v>758</v>
      </c>
      <c r="Q14" t="s">
        <v>13</v>
      </c>
    </row>
    <row r="15" spans="1:165" x14ac:dyDescent="0.25">
      <c r="A15" t="s">
        <v>0</v>
      </c>
      <c r="B15" s="281">
        <v>937.71</v>
      </c>
      <c r="C15" s="281">
        <v>1875.42</v>
      </c>
      <c r="D15" s="281">
        <v>1594.11</v>
      </c>
      <c r="E15" s="281">
        <v>2672.47</v>
      </c>
      <c r="F15" t="s">
        <v>761</v>
      </c>
      <c r="G15" t="s">
        <v>813</v>
      </c>
      <c r="H15" t="s">
        <v>51</v>
      </c>
      <c r="I15" t="s">
        <v>16</v>
      </c>
      <c r="J15" t="s">
        <v>44</v>
      </c>
      <c r="K15" t="s">
        <v>48</v>
      </c>
      <c r="L15" t="s">
        <v>119</v>
      </c>
      <c r="M15" t="s">
        <v>132</v>
      </c>
      <c r="N15" t="s">
        <v>132</v>
      </c>
      <c r="O15" t="s">
        <v>798</v>
      </c>
      <c r="P15" t="s">
        <v>760</v>
      </c>
      <c r="Q15" t="s">
        <v>13</v>
      </c>
    </row>
    <row r="16" spans="1:165" x14ac:dyDescent="0.25">
      <c r="A16" t="s">
        <v>557</v>
      </c>
      <c r="B16" s="281">
        <v>718.13</v>
      </c>
      <c r="C16" s="281">
        <v>1436.26</v>
      </c>
      <c r="D16" s="281">
        <v>1220.81</v>
      </c>
      <c r="E16" s="281">
        <v>2046.67</v>
      </c>
      <c r="F16" t="s">
        <v>567</v>
      </c>
      <c r="G16" t="s">
        <v>792</v>
      </c>
      <c r="H16" t="s">
        <v>566</v>
      </c>
      <c r="I16" t="s">
        <v>16</v>
      </c>
      <c r="J16" t="s">
        <v>48</v>
      </c>
      <c r="K16" t="s">
        <v>87</v>
      </c>
      <c r="L16" t="s">
        <v>582</v>
      </c>
      <c r="M16" t="s">
        <v>408</v>
      </c>
      <c r="N16" t="s">
        <v>408</v>
      </c>
      <c r="O16" t="s">
        <v>801</v>
      </c>
      <c r="P16" t="s">
        <v>762</v>
      </c>
      <c r="Q16" t="s">
        <v>13</v>
      </c>
    </row>
    <row r="17" spans="1:17" x14ac:dyDescent="0.25">
      <c r="A17" t="s">
        <v>240</v>
      </c>
      <c r="B17" s="281">
        <v>938.35</v>
      </c>
      <c r="C17" s="281">
        <v>1876.7</v>
      </c>
      <c r="D17" s="281">
        <v>1595.19</v>
      </c>
      <c r="E17" s="281">
        <v>2674.29</v>
      </c>
      <c r="F17" t="s">
        <v>765</v>
      </c>
      <c r="G17" t="s">
        <v>814</v>
      </c>
      <c r="H17" t="s">
        <v>51</v>
      </c>
      <c r="I17" t="s">
        <v>17</v>
      </c>
      <c r="J17" t="s">
        <v>45</v>
      </c>
      <c r="K17" t="s">
        <v>45</v>
      </c>
      <c r="L17" t="s">
        <v>119</v>
      </c>
      <c r="M17" t="s">
        <v>45</v>
      </c>
      <c r="N17" t="s">
        <v>45</v>
      </c>
      <c r="O17" t="s">
        <v>802</v>
      </c>
      <c r="P17" t="s">
        <v>764</v>
      </c>
      <c r="Q17" t="s">
        <v>14</v>
      </c>
    </row>
    <row r="18" spans="1:17" x14ac:dyDescent="0.25">
      <c r="A18" t="s">
        <v>507</v>
      </c>
      <c r="B18" s="281">
        <v>795.26</v>
      </c>
      <c r="C18" s="281">
        <v>1590.52</v>
      </c>
      <c r="D18" s="281">
        <v>1351.94</v>
      </c>
      <c r="E18" s="281">
        <v>2266.48</v>
      </c>
      <c r="F18" t="s">
        <v>569</v>
      </c>
      <c r="G18" t="s">
        <v>781</v>
      </c>
      <c r="H18" t="s">
        <v>51</v>
      </c>
      <c r="I18" t="s">
        <v>17</v>
      </c>
      <c r="J18" t="s">
        <v>45</v>
      </c>
      <c r="K18" t="s">
        <v>45</v>
      </c>
      <c r="L18" t="s">
        <v>119</v>
      </c>
      <c r="M18" t="s">
        <v>45</v>
      </c>
      <c r="N18" t="s">
        <v>45</v>
      </c>
      <c r="O18" t="s">
        <v>803</v>
      </c>
      <c r="P18" t="s">
        <v>766</v>
      </c>
      <c r="Q18" t="s">
        <v>14</v>
      </c>
    </row>
    <row r="19" spans="1:17" x14ac:dyDescent="0.25">
      <c r="A19" t="s">
        <v>436</v>
      </c>
      <c r="B19" s="281">
        <v>684.55</v>
      </c>
      <c r="C19" s="281">
        <v>1369.09</v>
      </c>
      <c r="D19" s="281">
        <v>1163.73</v>
      </c>
      <c r="E19" s="281">
        <v>1950.95</v>
      </c>
      <c r="F19" t="s">
        <v>445</v>
      </c>
      <c r="G19" t="s">
        <v>567</v>
      </c>
      <c r="H19" t="s">
        <v>287</v>
      </c>
      <c r="I19" t="s">
        <v>17</v>
      </c>
      <c r="J19" t="s">
        <v>173</v>
      </c>
      <c r="K19" t="s">
        <v>173</v>
      </c>
      <c r="L19" t="s">
        <v>381</v>
      </c>
      <c r="M19" t="s">
        <v>173</v>
      </c>
      <c r="N19" t="s">
        <v>173</v>
      </c>
      <c r="O19" t="s">
        <v>804</v>
      </c>
      <c r="P19" t="s">
        <v>767</v>
      </c>
      <c r="Q19" t="s">
        <v>14</v>
      </c>
    </row>
    <row r="20" spans="1:17" x14ac:dyDescent="0.25">
      <c r="A20" t="s">
        <v>437</v>
      </c>
      <c r="B20" s="281">
        <v>640.87</v>
      </c>
      <c r="C20" s="281">
        <v>1281.74</v>
      </c>
      <c r="D20" s="281">
        <v>1089.47</v>
      </c>
      <c r="E20" s="281">
        <v>1826.47</v>
      </c>
      <c r="F20" t="s">
        <v>791</v>
      </c>
      <c r="G20" t="s">
        <v>791</v>
      </c>
      <c r="H20" t="s">
        <v>53</v>
      </c>
      <c r="I20" t="s">
        <v>17</v>
      </c>
      <c r="J20" t="s">
        <v>218</v>
      </c>
      <c r="K20" t="s">
        <v>218</v>
      </c>
      <c r="L20" t="s">
        <v>462</v>
      </c>
      <c r="M20" t="s">
        <v>218</v>
      </c>
      <c r="N20" t="s">
        <v>218</v>
      </c>
      <c r="O20" t="s">
        <v>805</v>
      </c>
      <c r="P20" t="s">
        <v>768</v>
      </c>
      <c r="Q20" t="s">
        <v>14</v>
      </c>
    </row>
    <row r="21" spans="1:17" x14ac:dyDescent="0.25">
      <c r="A21" t="s">
        <v>438</v>
      </c>
      <c r="B21" s="281">
        <v>689.3</v>
      </c>
      <c r="C21" s="281">
        <v>1378.6</v>
      </c>
      <c r="D21" s="281">
        <v>1171.81</v>
      </c>
      <c r="E21" s="281">
        <v>1964.5</v>
      </c>
      <c r="F21" t="s">
        <v>447</v>
      </c>
      <c r="G21" t="s">
        <v>567</v>
      </c>
      <c r="H21" t="s">
        <v>53</v>
      </c>
      <c r="I21" t="s">
        <v>17</v>
      </c>
      <c r="J21" t="s">
        <v>49</v>
      </c>
      <c r="K21" t="s">
        <v>227</v>
      </c>
      <c r="L21" t="s">
        <v>224</v>
      </c>
      <c r="M21" t="s">
        <v>466</v>
      </c>
      <c r="N21" t="s">
        <v>466</v>
      </c>
      <c r="O21" t="s">
        <v>803</v>
      </c>
      <c r="P21" t="s">
        <v>769</v>
      </c>
      <c r="Q21" t="s">
        <v>14</v>
      </c>
    </row>
    <row r="22" spans="1:17" x14ac:dyDescent="0.25">
      <c r="A22" t="s">
        <v>559</v>
      </c>
      <c r="B22" s="281">
        <v>816.11</v>
      </c>
      <c r="C22" s="281">
        <v>1632.21</v>
      </c>
      <c r="D22" s="281">
        <v>1387.38</v>
      </c>
      <c r="E22" s="281">
        <v>2325.91</v>
      </c>
      <c r="F22" t="s">
        <v>782</v>
      </c>
      <c r="G22" t="s">
        <v>567</v>
      </c>
      <c r="H22" t="s">
        <v>51</v>
      </c>
      <c r="I22" t="s">
        <v>17</v>
      </c>
      <c r="J22" t="s">
        <v>45</v>
      </c>
      <c r="K22" t="s">
        <v>45</v>
      </c>
      <c r="L22" t="s">
        <v>119</v>
      </c>
      <c r="M22" t="s">
        <v>45</v>
      </c>
      <c r="N22" t="s">
        <v>45</v>
      </c>
      <c r="O22" t="s">
        <v>802</v>
      </c>
      <c r="P22" t="s">
        <v>770</v>
      </c>
      <c r="Q22" t="s">
        <v>14</v>
      </c>
    </row>
    <row r="23" spans="1:17" x14ac:dyDescent="0.25">
      <c r="A23" t="s">
        <v>560</v>
      </c>
      <c r="B23" s="281">
        <v>794.55</v>
      </c>
      <c r="C23" s="281">
        <v>1589.09</v>
      </c>
      <c r="D23" s="281">
        <v>1350.73</v>
      </c>
      <c r="E23" s="281">
        <v>2264.46</v>
      </c>
      <c r="F23" t="s">
        <v>570</v>
      </c>
      <c r="G23" t="s">
        <v>815</v>
      </c>
      <c r="H23" t="s">
        <v>51</v>
      </c>
      <c r="I23" t="s">
        <v>17</v>
      </c>
      <c r="J23" t="s">
        <v>45</v>
      </c>
      <c r="K23" t="s">
        <v>45</v>
      </c>
      <c r="L23" t="s">
        <v>119</v>
      </c>
      <c r="M23" t="s">
        <v>45</v>
      </c>
      <c r="N23" t="s">
        <v>45</v>
      </c>
      <c r="O23" t="s">
        <v>806</v>
      </c>
      <c r="P23" t="s">
        <v>771</v>
      </c>
      <c r="Q23" t="s">
        <v>14</v>
      </c>
    </row>
    <row r="24" spans="1:17" x14ac:dyDescent="0.25">
      <c r="A24" t="s">
        <v>508</v>
      </c>
      <c r="B24" s="281">
        <v>808.13</v>
      </c>
      <c r="C24" s="281">
        <v>1616.26</v>
      </c>
      <c r="D24" s="281">
        <v>1373.82</v>
      </c>
      <c r="E24" s="281">
        <v>2303.17</v>
      </c>
      <c r="F24" t="s">
        <v>783</v>
      </c>
      <c r="G24" t="s">
        <v>816</v>
      </c>
      <c r="H24" t="s">
        <v>53</v>
      </c>
      <c r="I24" t="s">
        <v>17</v>
      </c>
      <c r="J24" t="s">
        <v>817</v>
      </c>
      <c r="K24" t="s">
        <v>346</v>
      </c>
      <c r="L24" t="s">
        <v>121</v>
      </c>
      <c r="M24" t="s">
        <v>530</v>
      </c>
      <c r="N24" t="s">
        <v>530</v>
      </c>
      <c r="O24" t="s">
        <v>802</v>
      </c>
      <c r="P24" t="s">
        <v>772</v>
      </c>
      <c r="Q24" t="s">
        <v>14</v>
      </c>
    </row>
    <row r="25" spans="1:17" x14ac:dyDescent="0.25">
      <c r="A25" t="s">
        <v>2</v>
      </c>
      <c r="B25" s="281">
        <v>931.36</v>
      </c>
      <c r="C25" s="281">
        <v>1862.72</v>
      </c>
      <c r="D25" s="281">
        <v>1583.31</v>
      </c>
      <c r="E25" s="281">
        <v>2654.37</v>
      </c>
      <c r="F25" t="s">
        <v>774</v>
      </c>
      <c r="G25" t="s">
        <v>445</v>
      </c>
      <c r="H25" t="s">
        <v>53</v>
      </c>
      <c r="I25" t="s">
        <v>17</v>
      </c>
      <c r="J25" t="s">
        <v>817</v>
      </c>
      <c r="K25" t="s">
        <v>49</v>
      </c>
      <c r="L25" t="s">
        <v>121</v>
      </c>
      <c r="M25" t="s">
        <v>133</v>
      </c>
      <c r="N25" t="s">
        <v>133</v>
      </c>
      <c r="O25" t="s">
        <v>802</v>
      </c>
      <c r="P25" t="s">
        <v>773</v>
      </c>
      <c r="Q25" t="s">
        <v>14</v>
      </c>
    </row>
    <row r="26" spans="1:17" x14ac:dyDescent="0.25">
      <c r="A26" t="s">
        <v>789</v>
      </c>
      <c r="B26" s="281">
        <v>609.08000000000004</v>
      </c>
      <c r="C26" s="281">
        <v>1218.1600000000001</v>
      </c>
      <c r="D26" s="281">
        <v>1035.44</v>
      </c>
      <c r="E26" s="281">
        <v>1735.88</v>
      </c>
      <c r="F26" t="s">
        <v>792</v>
      </c>
      <c r="G26" t="s">
        <v>792</v>
      </c>
      <c r="H26" t="s">
        <v>53</v>
      </c>
      <c r="I26" t="s">
        <v>16</v>
      </c>
      <c r="J26" t="s">
        <v>218</v>
      </c>
      <c r="K26" t="s">
        <v>218</v>
      </c>
      <c r="L26" t="s">
        <v>462</v>
      </c>
      <c r="M26" t="s">
        <v>218</v>
      </c>
      <c r="N26" t="s">
        <v>218</v>
      </c>
      <c r="O26" t="s">
        <v>805</v>
      </c>
      <c r="P26" t="s">
        <v>788</v>
      </c>
      <c r="Q26" t="s">
        <v>54</v>
      </c>
    </row>
    <row r="27" spans="1:17" x14ac:dyDescent="0.25">
      <c r="A27" t="s">
        <v>205</v>
      </c>
      <c r="B27" s="281">
        <v>581.66</v>
      </c>
      <c r="C27" s="281">
        <v>1163.31</v>
      </c>
      <c r="D27" s="281">
        <v>988.81</v>
      </c>
      <c r="E27" s="281">
        <v>1657.72</v>
      </c>
      <c r="F27" t="s">
        <v>839</v>
      </c>
      <c r="G27" t="s">
        <v>811</v>
      </c>
      <c r="H27" t="s">
        <v>718</v>
      </c>
      <c r="I27" t="s">
        <v>16</v>
      </c>
      <c r="J27" t="s">
        <v>46</v>
      </c>
      <c r="K27" t="s">
        <v>49</v>
      </c>
      <c r="L27" t="s">
        <v>224</v>
      </c>
      <c r="M27" t="s">
        <v>133</v>
      </c>
      <c r="N27" t="s">
        <v>133</v>
      </c>
      <c r="O27" t="s">
        <v>223</v>
      </c>
      <c r="P27" t="s">
        <v>206</v>
      </c>
      <c r="Q27" t="s">
        <v>13</v>
      </c>
    </row>
    <row r="28" spans="1:17" x14ac:dyDescent="0.25">
      <c r="B28" s="281"/>
      <c r="C28" s="281"/>
      <c r="D28" s="281"/>
      <c r="E28" s="281"/>
    </row>
    <row r="29" spans="1:17" x14ac:dyDescent="0.25">
      <c r="B29" s="281"/>
      <c r="C29" s="281"/>
      <c r="D29" s="281"/>
      <c r="E29" s="281"/>
    </row>
    <row r="30" spans="1:17" x14ac:dyDescent="0.25">
      <c r="B30" s="281"/>
      <c r="C30" s="281"/>
      <c r="D30" s="281"/>
      <c r="E30" s="28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FN31"/>
  <sheetViews>
    <sheetView zoomScale="80" zoomScaleNormal="80" workbookViewId="0"/>
  </sheetViews>
  <sheetFormatPr defaultRowHeight="15" x14ac:dyDescent="0.25"/>
  <cols>
    <col min="1" max="1" width="21.140625" bestFit="1" customWidth="1"/>
    <col min="2" max="2" width="40" bestFit="1" customWidth="1"/>
    <col min="3" max="3" width="17.5703125" bestFit="1" customWidth="1"/>
    <col min="5" max="5" width="15.28515625" bestFit="1" customWidth="1"/>
    <col min="6" max="6" width="14" bestFit="1" customWidth="1"/>
    <col min="7" max="7" width="31.7109375" bestFit="1" customWidth="1"/>
    <col min="8" max="8" width="34.140625" bestFit="1" customWidth="1"/>
    <col min="9" max="9" width="15.28515625" bestFit="1" customWidth="1"/>
    <col min="10" max="10" width="28.140625" bestFit="1" customWidth="1"/>
    <col min="11" max="11" width="136.7109375" bestFit="1" customWidth="1"/>
    <col min="12" max="12" width="50.5703125" bestFit="1" customWidth="1"/>
    <col min="13" max="13" width="145" bestFit="1" customWidth="1"/>
    <col min="14" max="14" width="50.5703125" bestFit="1" customWidth="1"/>
    <col min="15" max="15" width="55.28515625" bestFit="1" customWidth="1"/>
    <col min="16" max="16" width="61.28515625" bestFit="1" customWidth="1"/>
    <col min="17" max="17" width="18.7109375" bestFit="1" customWidth="1"/>
    <col min="18" max="18" width="21.140625" bestFit="1" customWidth="1"/>
    <col min="19" max="19" width="99" bestFit="1" customWidth="1"/>
    <col min="20" max="21" width="51.85546875" bestFit="1" customWidth="1"/>
    <col min="22" max="22" width="186.28515625" bestFit="1" customWidth="1"/>
    <col min="23" max="23" width="41.140625" bestFit="1" customWidth="1"/>
    <col min="24" max="24" width="52.140625" bestFit="1" customWidth="1"/>
    <col min="25" max="25" width="50.5703125" bestFit="1" customWidth="1"/>
  </cols>
  <sheetData>
    <row r="2" spans="1:170" x14ac:dyDescent="0.25">
      <c r="B2" s="282" t="s">
        <v>731</v>
      </c>
    </row>
    <row r="3" spans="1:170" x14ac:dyDescent="0.25">
      <c r="B3" s="282" t="s">
        <v>732</v>
      </c>
    </row>
    <row r="4" spans="1:170" x14ac:dyDescent="0.25">
      <c r="B4" s="280" t="s">
        <v>820</v>
      </c>
    </row>
    <row r="7" spans="1:170" x14ac:dyDescent="0.25">
      <c r="A7" s="282" t="s">
        <v>733</v>
      </c>
      <c r="B7" s="282" t="s">
        <v>5</v>
      </c>
      <c r="C7" s="282" t="s">
        <v>12</v>
      </c>
      <c r="E7" s="282" t="s">
        <v>15</v>
      </c>
      <c r="F7" s="282" t="s">
        <v>726</v>
      </c>
      <c r="G7" s="282" t="s">
        <v>727</v>
      </c>
      <c r="H7" s="282" t="s">
        <v>728</v>
      </c>
      <c r="I7" s="282" t="s">
        <v>729</v>
      </c>
      <c r="J7" s="282" t="s">
        <v>18</v>
      </c>
      <c r="K7" s="282" t="s">
        <v>43</v>
      </c>
      <c r="L7" s="282" t="s">
        <v>734</v>
      </c>
      <c r="M7" s="282" t="s">
        <v>47</v>
      </c>
      <c r="N7" s="282" t="s">
        <v>735</v>
      </c>
      <c r="O7" s="282" t="s">
        <v>54</v>
      </c>
      <c r="P7" s="282" t="s">
        <v>736</v>
      </c>
      <c r="Q7" s="282" t="s">
        <v>50</v>
      </c>
      <c r="R7" s="282" t="s">
        <v>737</v>
      </c>
      <c r="S7" s="282" t="s">
        <v>118</v>
      </c>
      <c r="T7" s="282" t="s">
        <v>131</v>
      </c>
      <c r="U7" s="282" t="s">
        <v>135</v>
      </c>
      <c r="V7" s="282" t="s">
        <v>110</v>
      </c>
      <c r="W7" s="282" t="s">
        <v>730</v>
      </c>
      <c r="X7" s="282" t="s">
        <v>738</v>
      </c>
      <c r="Y7" s="282" t="s">
        <v>739</v>
      </c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0"/>
      <c r="AQ7" s="280"/>
      <c r="AR7" s="280"/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0"/>
      <c r="BF7" s="280"/>
      <c r="BG7" s="280"/>
      <c r="BH7" s="280"/>
      <c r="BI7" s="280"/>
      <c r="BJ7" s="280"/>
      <c r="BK7" s="280"/>
      <c r="BL7" s="280"/>
      <c r="BM7" s="280"/>
      <c r="BN7" s="280"/>
      <c r="BO7" s="280"/>
      <c r="BP7" s="280"/>
      <c r="BQ7" s="280"/>
      <c r="BR7" s="280"/>
      <c r="BS7" s="280"/>
      <c r="BT7" s="280"/>
      <c r="BU7" s="280"/>
      <c r="BV7" s="280"/>
      <c r="BW7" s="280"/>
      <c r="BX7" s="280"/>
      <c r="BY7" s="280"/>
      <c r="BZ7" s="280"/>
      <c r="CA7" s="280"/>
      <c r="CB7" s="280"/>
      <c r="CC7" s="280"/>
      <c r="CD7" s="280"/>
      <c r="CE7" s="280"/>
      <c r="CF7" s="280"/>
      <c r="CG7" s="280"/>
      <c r="CH7" s="280"/>
      <c r="CI7" s="280"/>
      <c r="CJ7" s="280"/>
      <c r="CK7" s="280"/>
      <c r="CL7" s="280"/>
      <c r="CM7" s="280"/>
      <c r="CN7" s="280"/>
      <c r="CO7" s="280"/>
      <c r="CP7" s="280"/>
      <c r="CQ7" s="280"/>
      <c r="CR7" s="280"/>
      <c r="CS7" s="280"/>
      <c r="CT7" s="280"/>
      <c r="CU7" s="280"/>
      <c r="CV7" s="280"/>
      <c r="CW7" s="280"/>
      <c r="CX7" s="280"/>
      <c r="CY7" s="280"/>
      <c r="CZ7" s="280"/>
      <c r="DA7" s="280"/>
      <c r="DB7" s="280"/>
      <c r="DC7" s="280"/>
      <c r="DD7" s="280"/>
      <c r="DE7" s="280"/>
      <c r="DF7" s="280"/>
      <c r="DG7" s="280"/>
      <c r="DH7" s="280"/>
      <c r="DI7" s="280"/>
      <c r="DJ7" s="280"/>
      <c r="DK7" s="280"/>
      <c r="DL7" s="280"/>
      <c r="DM7" s="280"/>
      <c r="DN7" s="280"/>
      <c r="DO7" s="280"/>
      <c r="DP7" s="280"/>
      <c r="DQ7" s="280"/>
      <c r="DR7" s="280"/>
      <c r="DS7" s="280"/>
      <c r="DT7" s="280"/>
      <c r="DU7" s="280"/>
      <c r="DV7" s="280"/>
      <c r="DW7" s="280"/>
      <c r="DX7" s="280"/>
      <c r="DY7" s="280"/>
      <c r="DZ7" s="280"/>
      <c r="EA7" s="280"/>
      <c r="EB7" s="280"/>
      <c r="EC7" s="280"/>
      <c r="ED7" s="280"/>
      <c r="EE7" s="280"/>
      <c r="EF7" s="280"/>
      <c r="EG7" s="280"/>
      <c r="EH7" s="280"/>
      <c r="EI7" s="280"/>
      <c r="EJ7" s="280"/>
      <c r="EK7" s="280"/>
      <c r="EL7" s="280"/>
      <c r="EM7" s="280"/>
      <c r="EN7" s="280"/>
      <c r="EO7" s="280"/>
      <c r="EP7" s="280"/>
      <c r="EQ7" s="280"/>
      <c r="ER7" s="280"/>
      <c r="ES7" s="280"/>
      <c r="ET7" s="280"/>
      <c r="EU7" s="280"/>
      <c r="EV7" s="280"/>
      <c r="EW7" s="280"/>
      <c r="EX7" s="280"/>
      <c r="EY7" s="280"/>
      <c r="EZ7" s="280"/>
      <c r="FA7" s="280"/>
      <c r="FB7" s="280"/>
      <c r="FC7" s="280"/>
      <c r="FD7" s="280"/>
      <c r="FE7" s="280"/>
      <c r="FF7" s="280"/>
      <c r="FG7" s="280"/>
      <c r="FH7" s="280"/>
      <c r="FI7" s="280"/>
      <c r="FJ7" s="280"/>
      <c r="FK7" s="280"/>
      <c r="FL7" s="280"/>
      <c r="FM7" s="280"/>
      <c r="FN7" s="280"/>
    </row>
    <row r="8" spans="1:170" x14ac:dyDescent="0.25">
      <c r="A8" t="s">
        <v>740</v>
      </c>
      <c r="B8" t="s">
        <v>332</v>
      </c>
      <c r="C8" t="s">
        <v>245</v>
      </c>
      <c r="E8" t="s">
        <v>16</v>
      </c>
      <c r="F8" s="281">
        <v>1434.23</v>
      </c>
      <c r="G8" s="281">
        <v>2868.45</v>
      </c>
      <c r="H8" s="281">
        <v>2438.1799999999998</v>
      </c>
      <c r="I8" s="281">
        <v>4087.54</v>
      </c>
      <c r="K8" t="s">
        <v>343</v>
      </c>
      <c r="L8" t="s">
        <v>45</v>
      </c>
      <c r="M8" t="s">
        <v>345</v>
      </c>
      <c r="N8" t="s">
        <v>45</v>
      </c>
      <c r="O8" t="s">
        <v>66</v>
      </c>
      <c r="P8" t="s">
        <v>56</v>
      </c>
      <c r="Q8" t="s">
        <v>66</v>
      </c>
      <c r="R8" t="s">
        <v>51</v>
      </c>
      <c r="S8" t="s">
        <v>379</v>
      </c>
      <c r="T8" t="s">
        <v>87</v>
      </c>
      <c r="U8" t="s">
        <v>87</v>
      </c>
      <c r="V8" t="s">
        <v>375</v>
      </c>
      <c r="W8" t="s">
        <v>774</v>
      </c>
      <c r="X8" t="s">
        <v>763</v>
      </c>
    </row>
    <row r="9" spans="1:170" x14ac:dyDescent="0.25">
      <c r="A9" t="s">
        <v>741</v>
      </c>
      <c r="B9" t="s">
        <v>599</v>
      </c>
      <c r="C9" t="s">
        <v>245</v>
      </c>
      <c r="E9" t="s">
        <v>16</v>
      </c>
      <c r="F9" s="281">
        <v>1421.46</v>
      </c>
      <c r="G9" s="281">
        <v>2842.92</v>
      </c>
      <c r="H9" s="281">
        <v>2416.4899999999998</v>
      </c>
      <c r="I9" s="281">
        <v>4051.16</v>
      </c>
      <c r="K9" t="s">
        <v>343</v>
      </c>
      <c r="L9" t="s">
        <v>45</v>
      </c>
      <c r="M9" t="s">
        <v>44</v>
      </c>
      <c r="N9" t="s">
        <v>45</v>
      </c>
      <c r="O9" t="s">
        <v>66</v>
      </c>
      <c r="P9" t="s">
        <v>56</v>
      </c>
      <c r="Q9" t="s">
        <v>66</v>
      </c>
      <c r="R9" t="s">
        <v>51</v>
      </c>
      <c r="S9" t="s">
        <v>379</v>
      </c>
      <c r="T9" t="s">
        <v>787</v>
      </c>
      <c r="U9" t="s">
        <v>785</v>
      </c>
      <c r="V9" t="s">
        <v>793</v>
      </c>
      <c r="W9" t="s">
        <v>832</v>
      </c>
      <c r="X9" t="s">
        <v>763</v>
      </c>
    </row>
    <row r="10" spans="1:170" x14ac:dyDescent="0.25">
      <c r="A10" t="s">
        <v>746</v>
      </c>
      <c r="B10" t="s">
        <v>239</v>
      </c>
      <c r="C10" t="s">
        <v>245</v>
      </c>
      <c r="E10" t="s">
        <v>16</v>
      </c>
      <c r="F10" s="281">
        <v>1216.57</v>
      </c>
      <c r="G10" s="281">
        <v>2433.14</v>
      </c>
      <c r="H10" s="281">
        <v>2068.1799999999998</v>
      </c>
      <c r="I10" s="281">
        <v>3467.23</v>
      </c>
      <c r="K10" t="s">
        <v>44</v>
      </c>
      <c r="L10" t="s">
        <v>45</v>
      </c>
      <c r="M10" t="s">
        <v>248</v>
      </c>
      <c r="N10" t="s">
        <v>45</v>
      </c>
      <c r="O10" t="s">
        <v>66</v>
      </c>
      <c r="P10" t="s">
        <v>56</v>
      </c>
      <c r="Q10" t="s">
        <v>66</v>
      </c>
      <c r="R10" t="s">
        <v>51</v>
      </c>
      <c r="S10" t="s">
        <v>747</v>
      </c>
      <c r="T10" t="s">
        <v>584</v>
      </c>
      <c r="U10" t="s">
        <v>744</v>
      </c>
      <c r="V10" t="s">
        <v>794</v>
      </c>
      <c r="W10" t="s">
        <v>792</v>
      </c>
      <c r="X10" t="s">
        <v>763</v>
      </c>
    </row>
    <row r="11" spans="1:170" x14ac:dyDescent="0.25">
      <c r="A11" t="s">
        <v>748</v>
      </c>
      <c r="B11" t="s">
        <v>489</v>
      </c>
      <c r="C11" t="s">
        <v>245</v>
      </c>
      <c r="E11" t="s">
        <v>16</v>
      </c>
      <c r="F11" s="281">
        <v>1410.21</v>
      </c>
      <c r="G11" s="281">
        <v>2820.41</v>
      </c>
      <c r="H11" s="281">
        <v>2397.35</v>
      </c>
      <c r="I11" s="281">
        <v>4019.08</v>
      </c>
      <c r="K11" t="s">
        <v>305</v>
      </c>
      <c r="L11" t="s">
        <v>45</v>
      </c>
      <c r="M11" t="s">
        <v>247</v>
      </c>
      <c r="N11" t="s">
        <v>45</v>
      </c>
      <c r="O11" t="s">
        <v>66</v>
      </c>
      <c r="P11" t="s">
        <v>56</v>
      </c>
      <c r="Q11" t="s">
        <v>66</v>
      </c>
      <c r="R11" t="s">
        <v>51</v>
      </c>
      <c r="S11" t="s">
        <v>496</v>
      </c>
      <c r="T11" t="s">
        <v>320</v>
      </c>
      <c r="U11" t="s">
        <v>498</v>
      </c>
      <c r="V11" t="s">
        <v>795</v>
      </c>
      <c r="W11" t="s">
        <v>809</v>
      </c>
      <c r="X11" t="s">
        <v>763</v>
      </c>
    </row>
    <row r="12" spans="1:170" x14ac:dyDescent="0.25">
      <c r="A12" t="s">
        <v>749</v>
      </c>
      <c r="B12" t="s">
        <v>333</v>
      </c>
      <c r="C12" t="s">
        <v>13</v>
      </c>
      <c r="E12" t="s">
        <v>16</v>
      </c>
      <c r="F12" s="281">
        <v>1038.01</v>
      </c>
      <c r="G12" s="281">
        <v>2076.02</v>
      </c>
      <c r="H12" s="281">
        <v>1764.62</v>
      </c>
      <c r="I12" s="281">
        <v>2958.32</v>
      </c>
      <c r="K12" t="s">
        <v>750</v>
      </c>
      <c r="L12" t="s">
        <v>31</v>
      </c>
      <c r="M12" t="s">
        <v>751</v>
      </c>
      <c r="N12" t="s">
        <v>31</v>
      </c>
      <c r="O12" t="s">
        <v>821</v>
      </c>
      <c r="P12" t="s">
        <v>56</v>
      </c>
      <c r="Q12" t="s">
        <v>53</v>
      </c>
      <c r="R12" t="s">
        <v>52</v>
      </c>
      <c r="S12" t="s">
        <v>380</v>
      </c>
      <c r="T12" t="s">
        <v>466</v>
      </c>
      <c r="U12" t="s">
        <v>133</v>
      </c>
      <c r="V12" t="s">
        <v>752</v>
      </c>
      <c r="W12" t="s">
        <v>833</v>
      </c>
      <c r="X12" t="s">
        <v>825</v>
      </c>
    </row>
    <row r="13" spans="1:170" x14ac:dyDescent="0.25">
      <c r="A13" t="s">
        <v>753</v>
      </c>
      <c r="B13" t="s">
        <v>334</v>
      </c>
      <c r="C13" t="s">
        <v>13</v>
      </c>
      <c r="E13" t="s">
        <v>16</v>
      </c>
      <c r="F13" s="281">
        <v>1233.98</v>
      </c>
      <c r="G13" s="281">
        <v>2467.96</v>
      </c>
      <c r="H13" s="281">
        <v>2097.7600000000002</v>
      </c>
      <c r="I13" s="281">
        <v>3516.84</v>
      </c>
      <c r="K13" t="s">
        <v>46</v>
      </c>
      <c r="L13" t="s">
        <v>31</v>
      </c>
      <c r="M13" t="s">
        <v>49</v>
      </c>
      <c r="N13" t="s">
        <v>31</v>
      </c>
      <c r="O13" t="s">
        <v>822</v>
      </c>
      <c r="P13" t="s">
        <v>56</v>
      </c>
      <c r="Q13" t="s">
        <v>53</v>
      </c>
      <c r="R13" t="s">
        <v>52</v>
      </c>
      <c r="S13" t="s">
        <v>224</v>
      </c>
      <c r="T13" t="s">
        <v>133</v>
      </c>
      <c r="U13" t="s">
        <v>133</v>
      </c>
      <c r="V13" t="s">
        <v>223</v>
      </c>
      <c r="W13" t="s">
        <v>833</v>
      </c>
      <c r="X13" t="s">
        <v>825</v>
      </c>
    </row>
    <row r="14" spans="1:170" x14ac:dyDescent="0.25">
      <c r="A14" t="s">
        <v>754</v>
      </c>
      <c r="B14" t="s">
        <v>299</v>
      </c>
      <c r="C14" t="s">
        <v>13</v>
      </c>
      <c r="E14" t="s">
        <v>16</v>
      </c>
      <c r="F14" s="281">
        <v>1158.23</v>
      </c>
      <c r="G14" s="281">
        <v>2316.4499999999998</v>
      </c>
      <c r="H14" s="281">
        <v>1968.99</v>
      </c>
      <c r="I14" s="281">
        <v>3300.94</v>
      </c>
      <c r="K14" t="s">
        <v>46</v>
      </c>
      <c r="L14" t="s">
        <v>31</v>
      </c>
      <c r="M14" t="s">
        <v>49</v>
      </c>
      <c r="N14" t="s">
        <v>31</v>
      </c>
      <c r="O14" t="s">
        <v>823</v>
      </c>
      <c r="P14" t="s">
        <v>56</v>
      </c>
      <c r="Q14" t="s">
        <v>51</v>
      </c>
      <c r="R14" t="s">
        <v>52</v>
      </c>
      <c r="S14" t="s">
        <v>119</v>
      </c>
      <c r="T14" t="s">
        <v>756</v>
      </c>
      <c r="U14" t="s">
        <v>756</v>
      </c>
      <c r="V14" t="s">
        <v>795</v>
      </c>
      <c r="W14" t="s">
        <v>567</v>
      </c>
      <c r="X14" t="s">
        <v>763</v>
      </c>
    </row>
    <row r="15" spans="1:170" x14ac:dyDescent="0.25">
      <c r="A15" t="s">
        <v>755</v>
      </c>
      <c r="B15" t="s">
        <v>506</v>
      </c>
      <c r="C15" t="s">
        <v>13</v>
      </c>
      <c r="E15" t="s">
        <v>16</v>
      </c>
      <c r="F15" s="281">
        <v>959.73</v>
      </c>
      <c r="G15" s="281">
        <v>1919.46</v>
      </c>
      <c r="H15" s="281">
        <v>1631.54</v>
      </c>
      <c r="I15" s="281">
        <v>2735.23</v>
      </c>
      <c r="K15" t="s">
        <v>49</v>
      </c>
      <c r="L15" t="s">
        <v>173</v>
      </c>
      <c r="M15" t="s">
        <v>227</v>
      </c>
      <c r="N15" t="s">
        <v>173</v>
      </c>
      <c r="O15" t="s">
        <v>570</v>
      </c>
      <c r="P15" t="s">
        <v>56</v>
      </c>
      <c r="Q15" t="s">
        <v>512</v>
      </c>
      <c r="R15" t="s">
        <v>287</v>
      </c>
      <c r="S15" t="s">
        <v>526</v>
      </c>
      <c r="T15" t="s">
        <v>756</v>
      </c>
      <c r="U15" t="s">
        <v>756</v>
      </c>
      <c r="V15" t="s">
        <v>798</v>
      </c>
      <c r="W15" t="s">
        <v>834</v>
      </c>
      <c r="X15" t="s">
        <v>763</v>
      </c>
    </row>
    <row r="16" spans="1:170" x14ac:dyDescent="0.25">
      <c r="A16" t="s">
        <v>757</v>
      </c>
      <c r="B16" t="s">
        <v>601</v>
      </c>
      <c r="C16" t="s">
        <v>13</v>
      </c>
      <c r="E16" t="s">
        <v>16</v>
      </c>
      <c r="F16" s="281">
        <v>1387.44</v>
      </c>
      <c r="G16" s="281">
        <v>2774.89</v>
      </c>
      <c r="H16" s="281">
        <v>2358.66</v>
      </c>
      <c r="I16" s="281">
        <v>3954.21</v>
      </c>
      <c r="K16" t="s">
        <v>343</v>
      </c>
      <c r="L16" t="s">
        <v>31</v>
      </c>
      <c r="M16" t="s">
        <v>246</v>
      </c>
      <c r="N16" t="s">
        <v>31</v>
      </c>
      <c r="O16" t="s">
        <v>692</v>
      </c>
      <c r="P16" t="s">
        <v>56</v>
      </c>
      <c r="Q16" t="s">
        <v>51</v>
      </c>
      <c r="R16" t="s">
        <v>52</v>
      </c>
      <c r="S16" t="s">
        <v>119</v>
      </c>
      <c r="T16" t="s">
        <v>612</v>
      </c>
      <c r="U16" t="s">
        <v>612</v>
      </c>
      <c r="V16" t="s">
        <v>799</v>
      </c>
      <c r="W16" t="s">
        <v>835</v>
      </c>
      <c r="X16" t="s">
        <v>763</v>
      </c>
    </row>
    <row r="17" spans="1:24" x14ac:dyDescent="0.25">
      <c r="A17" t="s">
        <v>758</v>
      </c>
      <c r="B17" t="s">
        <v>300</v>
      </c>
      <c r="C17" t="s">
        <v>13</v>
      </c>
      <c r="E17" t="s">
        <v>16</v>
      </c>
      <c r="F17" s="281">
        <v>1175.81</v>
      </c>
      <c r="G17" s="281">
        <v>2351.61</v>
      </c>
      <c r="H17" s="281">
        <v>1998.87</v>
      </c>
      <c r="I17" s="281">
        <v>3351.05</v>
      </c>
      <c r="K17" t="s">
        <v>44</v>
      </c>
      <c r="L17" t="s">
        <v>31</v>
      </c>
      <c r="M17" t="s">
        <v>248</v>
      </c>
      <c r="N17" t="s">
        <v>31</v>
      </c>
      <c r="O17" t="s">
        <v>759</v>
      </c>
      <c r="P17" t="s">
        <v>56</v>
      </c>
      <c r="Q17" t="s">
        <v>51</v>
      </c>
      <c r="R17" t="s">
        <v>52</v>
      </c>
      <c r="S17" t="s">
        <v>119</v>
      </c>
      <c r="T17" t="s">
        <v>787</v>
      </c>
      <c r="U17" t="s">
        <v>787</v>
      </c>
      <c r="V17" t="s">
        <v>800</v>
      </c>
      <c r="W17" t="s">
        <v>812</v>
      </c>
      <c r="X17" t="s">
        <v>763</v>
      </c>
    </row>
    <row r="18" spans="1:24" x14ac:dyDescent="0.25">
      <c r="A18" t="s">
        <v>760</v>
      </c>
      <c r="B18" t="s">
        <v>0</v>
      </c>
      <c r="C18" t="s">
        <v>13</v>
      </c>
      <c r="E18" t="s">
        <v>16</v>
      </c>
      <c r="F18" s="281">
        <v>1122.75</v>
      </c>
      <c r="G18" s="281">
        <v>2245.5</v>
      </c>
      <c r="H18" s="281">
        <v>1908.67</v>
      </c>
      <c r="I18" s="281">
        <v>3199.83</v>
      </c>
      <c r="K18" t="s">
        <v>44</v>
      </c>
      <c r="L18" t="s">
        <v>31</v>
      </c>
      <c r="M18" t="s">
        <v>48</v>
      </c>
      <c r="N18" t="s">
        <v>31</v>
      </c>
      <c r="O18" t="s">
        <v>824</v>
      </c>
      <c r="P18" t="s">
        <v>56</v>
      </c>
      <c r="Q18" t="s">
        <v>51</v>
      </c>
      <c r="R18" t="s">
        <v>52</v>
      </c>
      <c r="S18" t="s">
        <v>119</v>
      </c>
      <c r="T18" t="s">
        <v>132</v>
      </c>
      <c r="U18" t="s">
        <v>132</v>
      </c>
      <c r="V18" t="s">
        <v>798</v>
      </c>
      <c r="W18" t="s">
        <v>567</v>
      </c>
      <c r="X18" t="s">
        <v>763</v>
      </c>
    </row>
    <row r="19" spans="1:24" x14ac:dyDescent="0.25">
      <c r="A19" t="s">
        <v>762</v>
      </c>
      <c r="B19" t="s">
        <v>557</v>
      </c>
      <c r="C19" t="s">
        <v>13</v>
      </c>
      <c r="E19" t="s">
        <v>16</v>
      </c>
      <c r="F19" s="281">
        <v>841.99</v>
      </c>
      <c r="G19" s="281">
        <v>1683.98</v>
      </c>
      <c r="H19" s="281">
        <v>1431.39</v>
      </c>
      <c r="I19" s="281">
        <v>2399.67</v>
      </c>
      <c r="K19" t="s">
        <v>248</v>
      </c>
      <c r="L19" t="s">
        <v>218</v>
      </c>
      <c r="M19" t="s">
        <v>87</v>
      </c>
      <c r="N19" t="s">
        <v>218</v>
      </c>
      <c r="O19" t="s">
        <v>567</v>
      </c>
      <c r="P19" t="s">
        <v>825</v>
      </c>
      <c r="Q19" t="s">
        <v>566</v>
      </c>
      <c r="R19" t="s">
        <v>53</v>
      </c>
      <c r="S19" t="s">
        <v>582</v>
      </c>
      <c r="T19" t="s">
        <v>408</v>
      </c>
      <c r="U19" t="s">
        <v>408</v>
      </c>
      <c r="V19" t="s">
        <v>801</v>
      </c>
      <c r="W19" t="s">
        <v>833</v>
      </c>
      <c r="X19" t="s">
        <v>825</v>
      </c>
    </row>
    <row r="20" spans="1:24" x14ac:dyDescent="0.25">
      <c r="A20" t="s">
        <v>764</v>
      </c>
      <c r="B20" t="s">
        <v>240</v>
      </c>
      <c r="C20" t="s">
        <v>14</v>
      </c>
      <c r="E20" t="s">
        <v>17</v>
      </c>
      <c r="F20" s="281">
        <v>1121.1099999999999</v>
      </c>
      <c r="G20" s="281">
        <v>2242.21</v>
      </c>
      <c r="H20" s="281">
        <v>1905.88</v>
      </c>
      <c r="I20" s="281">
        <v>3195.15</v>
      </c>
      <c r="K20" t="s">
        <v>45</v>
      </c>
      <c r="L20" t="s">
        <v>31</v>
      </c>
      <c r="M20" t="s">
        <v>45</v>
      </c>
      <c r="N20" t="s">
        <v>31</v>
      </c>
      <c r="O20" t="s">
        <v>774</v>
      </c>
      <c r="P20" t="s">
        <v>56</v>
      </c>
      <c r="Q20" t="s">
        <v>51</v>
      </c>
      <c r="R20" t="s">
        <v>52</v>
      </c>
      <c r="S20" t="s">
        <v>119</v>
      </c>
      <c r="T20" t="s">
        <v>45</v>
      </c>
      <c r="U20" t="s">
        <v>45</v>
      </c>
      <c r="V20" t="s">
        <v>802</v>
      </c>
      <c r="W20" t="s">
        <v>214</v>
      </c>
      <c r="X20" t="s">
        <v>763</v>
      </c>
    </row>
    <row r="21" spans="1:24" x14ac:dyDescent="0.25">
      <c r="A21" t="s">
        <v>766</v>
      </c>
      <c r="B21" t="s">
        <v>507</v>
      </c>
      <c r="C21" t="s">
        <v>14</v>
      </c>
      <c r="E21" t="s">
        <v>17</v>
      </c>
      <c r="F21" s="281">
        <v>956.57</v>
      </c>
      <c r="G21" s="281">
        <v>1913.13</v>
      </c>
      <c r="H21" s="281">
        <v>1626.17</v>
      </c>
      <c r="I21" s="281">
        <v>2726.21</v>
      </c>
      <c r="K21" t="s">
        <v>45</v>
      </c>
      <c r="L21" t="s">
        <v>31</v>
      </c>
      <c r="M21" t="s">
        <v>45</v>
      </c>
      <c r="N21" t="s">
        <v>31</v>
      </c>
      <c r="O21" t="s">
        <v>780</v>
      </c>
      <c r="P21" t="s">
        <v>56</v>
      </c>
      <c r="Q21" t="s">
        <v>51</v>
      </c>
      <c r="R21" t="s">
        <v>52</v>
      </c>
      <c r="S21" t="s">
        <v>119</v>
      </c>
      <c r="T21" t="s">
        <v>45</v>
      </c>
      <c r="U21" t="s">
        <v>45</v>
      </c>
      <c r="V21" t="s">
        <v>803</v>
      </c>
      <c r="W21" t="s">
        <v>826</v>
      </c>
      <c r="X21" t="s">
        <v>763</v>
      </c>
    </row>
    <row r="22" spans="1:24" x14ac:dyDescent="0.25">
      <c r="A22" t="s">
        <v>767</v>
      </c>
      <c r="B22" t="s">
        <v>436</v>
      </c>
      <c r="C22" t="s">
        <v>14</v>
      </c>
      <c r="E22" t="s">
        <v>17</v>
      </c>
      <c r="F22" s="281">
        <v>828.63</v>
      </c>
      <c r="G22" s="281">
        <v>1657.26</v>
      </c>
      <c r="H22" s="281">
        <v>1408.68</v>
      </c>
      <c r="I22" s="281">
        <v>2361.6</v>
      </c>
      <c r="K22" t="s">
        <v>173</v>
      </c>
      <c r="L22" t="s">
        <v>218</v>
      </c>
      <c r="M22" t="s">
        <v>173</v>
      </c>
      <c r="N22" t="s">
        <v>218</v>
      </c>
      <c r="O22" t="s">
        <v>445</v>
      </c>
      <c r="P22" t="s">
        <v>763</v>
      </c>
      <c r="Q22" t="s">
        <v>287</v>
      </c>
      <c r="R22" t="s">
        <v>53</v>
      </c>
      <c r="S22" t="s">
        <v>381</v>
      </c>
      <c r="T22" t="s">
        <v>173</v>
      </c>
      <c r="U22" t="s">
        <v>173</v>
      </c>
      <c r="V22" t="s">
        <v>804</v>
      </c>
      <c r="W22" t="s">
        <v>567</v>
      </c>
      <c r="X22" t="s">
        <v>763</v>
      </c>
    </row>
    <row r="23" spans="1:24" x14ac:dyDescent="0.25">
      <c r="A23" t="s">
        <v>768</v>
      </c>
      <c r="B23" t="s">
        <v>437</v>
      </c>
      <c r="C23" t="s">
        <v>14</v>
      </c>
      <c r="E23" t="s">
        <v>17</v>
      </c>
      <c r="F23" s="281">
        <v>767.47</v>
      </c>
      <c r="G23" s="281">
        <v>1534.94</v>
      </c>
      <c r="H23" s="281">
        <v>1304.7</v>
      </c>
      <c r="I23" s="281">
        <v>2187.29</v>
      </c>
      <c r="K23" t="s">
        <v>218</v>
      </c>
      <c r="L23" t="s">
        <v>218</v>
      </c>
      <c r="M23" t="s">
        <v>218</v>
      </c>
      <c r="N23" t="s">
        <v>218</v>
      </c>
      <c r="O23" t="s">
        <v>826</v>
      </c>
      <c r="P23" t="s">
        <v>763</v>
      </c>
      <c r="Q23" t="s">
        <v>53</v>
      </c>
      <c r="R23" t="s">
        <v>53</v>
      </c>
      <c r="S23" t="s">
        <v>462</v>
      </c>
      <c r="T23" t="s">
        <v>218</v>
      </c>
      <c r="U23" t="s">
        <v>218</v>
      </c>
      <c r="V23" t="s">
        <v>805</v>
      </c>
      <c r="W23" t="s">
        <v>826</v>
      </c>
      <c r="X23" t="s">
        <v>763</v>
      </c>
    </row>
    <row r="24" spans="1:24" x14ac:dyDescent="0.25">
      <c r="A24" t="s">
        <v>769</v>
      </c>
      <c r="B24" t="s">
        <v>438</v>
      </c>
      <c r="C24" t="s">
        <v>14</v>
      </c>
      <c r="E24" t="s">
        <v>17</v>
      </c>
      <c r="F24" s="281">
        <v>834.43</v>
      </c>
      <c r="G24" s="281">
        <v>1668.85</v>
      </c>
      <c r="H24" s="281">
        <v>1418.53</v>
      </c>
      <c r="I24" s="281">
        <v>2378.11</v>
      </c>
      <c r="K24" t="s">
        <v>49</v>
      </c>
      <c r="L24" t="s">
        <v>218</v>
      </c>
      <c r="M24" t="s">
        <v>227</v>
      </c>
      <c r="N24" t="s">
        <v>218</v>
      </c>
      <c r="O24" t="s">
        <v>447</v>
      </c>
      <c r="P24" t="s">
        <v>763</v>
      </c>
      <c r="Q24" t="s">
        <v>53</v>
      </c>
      <c r="R24" t="s">
        <v>53</v>
      </c>
      <c r="S24" t="s">
        <v>224</v>
      </c>
      <c r="T24" t="s">
        <v>466</v>
      </c>
      <c r="U24" t="s">
        <v>466</v>
      </c>
      <c r="V24" t="s">
        <v>803</v>
      </c>
      <c r="W24" t="s">
        <v>567</v>
      </c>
      <c r="X24" t="s">
        <v>763</v>
      </c>
    </row>
    <row r="25" spans="1:24" x14ac:dyDescent="0.25">
      <c r="A25" t="s">
        <v>770</v>
      </c>
      <c r="B25" t="s">
        <v>559</v>
      </c>
      <c r="C25" t="s">
        <v>14</v>
      </c>
      <c r="E25" t="s">
        <v>17</v>
      </c>
      <c r="F25" s="281">
        <v>923.99</v>
      </c>
      <c r="G25" s="281">
        <v>1847.98</v>
      </c>
      <c r="H25" s="281">
        <v>1570.78</v>
      </c>
      <c r="I25" s="281">
        <v>2633.38</v>
      </c>
      <c r="K25" t="s">
        <v>45</v>
      </c>
      <c r="L25" t="s">
        <v>31</v>
      </c>
      <c r="M25" t="s">
        <v>45</v>
      </c>
      <c r="N25" t="s">
        <v>31</v>
      </c>
      <c r="O25" t="s">
        <v>827</v>
      </c>
      <c r="P25" t="s">
        <v>56</v>
      </c>
      <c r="Q25" t="s">
        <v>51</v>
      </c>
      <c r="R25" t="s">
        <v>52</v>
      </c>
      <c r="S25" t="s">
        <v>119</v>
      </c>
      <c r="T25" t="s">
        <v>45</v>
      </c>
      <c r="U25" t="s">
        <v>45</v>
      </c>
      <c r="V25" t="s">
        <v>802</v>
      </c>
      <c r="W25" t="s">
        <v>836</v>
      </c>
      <c r="X25" t="s">
        <v>763</v>
      </c>
    </row>
    <row r="26" spans="1:24" x14ac:dyDescent="0.25">
      <c r="A26" t="s">
        <v>771</v>
      </c>
      <c r="B26" t="s">
        <v>560</v>
      </c>
      <c r="C26" t="s">
        <v>14</v>
      </c>
      <c r="E26" t="s">
        <v>17</v>
      </c>
      <c r="F26" s="281">
        <v>947.95</v>
      </c>
      <c r="G26" s="281">
        <v>1895.89</v>
      </c>
      <c r="H26" s="281">
        <v>1611.51</v>
      </c>
      <c r="I26" s="281">
        <v>2701.64</v>
      </c>
      <c r="K26" t="s">
        <v>45</v>
      </c>
      <c r="L26" t="s">
        <v>31</v>
      </c>
      <c r="M26" t="s">
        <v>45</v>
      </c>
      <c r="N26" t="s">
        <v>31</v>
      </c>
      <c r="O26" t="s">
        <v>828</v>
      </c>
      <c r="P26" t="s">
        <v>56</v>
      </c>
      <c r="Q26" t="s">
        <v>51</v>
      </c>
      <c r="R26" t="s">
        <v>52</v>
      </c>
      <c r="S26" t="s">
        <v>119</v>
      </c>
      <c r="T26" t="s">
        <v>45</v>
      </c>
      <c r="U26" t="s">
        <v>45</v>
      </c>
      <c r="V26" t="s">
        <v>806</v>
      </c>
      <c r="W26" t="s">
        <v>837</v>
      </c>
      <c r="X26" t="s">
        <v>763</v>
      </c>
    </row>
    <row r="27" spans="1:24" x14ac:dyDescent="0.25">
      <c r="A27" t="s">
        <v>772</v>
      </c>
      <c r="B27" t="s">
        <v>508</v>
      </c>
      <c r="C27" t="s">
        <v>14</v>
      </c>
      <c r="E27" t="s">
        <v>17</v>
      </c>
      <c r="F27" s="281">
        <v>964.11</v>
      </c>
      <c r="G27" s="281">
        <v>1928.22</v>
      </c>
      <c r="H27" s="281">
        <v>1638.99</v>
      </c>
      <c r="I27" s="281">
        <v>2747.72</v>
      </c>
      <c r="K27" t="s">
        <v>817</v>
      </c>
      <c r="L27" t="s">
        <v>31</v>
      </c>
      <c r="M27" t="s">
        <v>346</v>
      </c>
      <c r="N27" t="s">
        <v>31</v>
      </c>
      <c r="O27" t="s">
        <v>570</v>
      </c>
      <c r="P27" t="s">
        <v>56</v>
      </c>
      <c r="Q27" t="s">
        <v>53</v>
      </c>
      <c r="R27" t="s">
        <v>52</v>
      </c>
      <c r="S27" t="s">
        <v>121</v>
      </c>
      <c r="T27" t="s">
        <v>530</v>
      </c>
      <c r="U27" t="s">
        <v>530</v>
      </c>
      <c r="V27" t="s">
        <v>802</v>
      </c>
      <c r="W27" t="s">
        <v>781</v>
      </c>
      <c r="X27" t="s">
        <v>763</v>
      </c>
    </row>
    <row r="28" spans="1:24" x14ac:dyDescent="0.25">
      <c r="A28" t="s">
        <v>773</v>
      </c>
      <c r="B28" t="s">
        <v>2</v>
      </c>
      <c r="C28" t="s">
        <v>14</v>
      </c>
      <c r="E28" t="s">
        <v>17</v>
      </c>
      <c r="F28" s="281">
        <v>1129.9000000000001</v>
      </c>
      <c r="G28" s="281">
        <v>2259.8000000000002</v>
      </c>
      <c r="H28" s="281">
        <v>1920.83</v>
      </c>
      <c r="I28" s="281">
        <v>3220.21</v>
      </c>
      <c r="K28" t="s">
        <v>817</v>
      </c>
      <c r="L28" t="s">
        <v>31</v>
      </c>
      <c r="M28" t="s">
        <v>49</v>
      </c>
      <c r="N28" t="s">
        <v>31</v>
      </c>
      <c r="O28" t="s">
        <v>774</v>
      </c>
      <c r="P28" t="s">
        <v>56</v>
      </c>
      <c r="Q28" t="s">
        <v>53</v>
      </c>
      <c r="R28" t="s">
        <v>52</v>
      </c>
      <c r="S28" t="s">
        <v>121</v>
      </c>
      <c r="T28" t="s">
        <v>133</v>
      </c>
      <c r="U28" t="s">
        <v>133</v>
      </c>
      <c r="V28" t="s">
        <v>802</v>
      </c>
      <c r="W28" t="s">
        <v>445</v>
      </c>
      <c r="X28" t="s">
        <v>763</v>
      </c>
    </row>
    <row r="29" spans="1:24" x14ac:dyDescent="0.25">
      <c r="A29" t="s">
        <v>788</v>
      </c>
      <c r="B29" t="s">
        <v>789</v>
      </c>
      <c r="C29" t="s">
        <v>54</v>
      </c>
      <c r="E29" t="s">
        <v>16</v>
      </c>
      <c r="F29" s="281">
        <v>685.81</v>
      </c>
      <c r="G29" s="281">
        <v>1371.61</v>
      </c>
      <c r="H29" s="281">
        <v>1165.8699999999999</v>
      </c>
      <c r="I29" s="281">
        <v>1954.55</v>
      </c>
      <c r="K29" t="s">
        <v>218</v>
      </c>
      <c r="L29" t="s">
        <v>218</v>
      </c>
      <c r="M29" t="s">
        <v>218</v>
      </c>
      <c r="N29" t="s">
        <v>218</v>
      </c>
      <c r="O29" t="s">
        <v>829</v>
      </c>
      <c r="P29" t="s">
        <v>830</v>
      </c>
      <c r="Q29" t="s">
        <v>53</v>
      </c>
      <c r="R29" t="s">
        <v>53</v>
      </c>
      <c r="S29" t="s">
        <v>462</v>
      </c>
      <c r="T29" t="s">
        <v>218</v>
      </c>
      <c r="U29" t="s">
        <v>218</v>
      </c>
      <c r="V29" t="s">
        <v>805</v>
      </c>
      <c r="W29" t="s">
        <v>829</v>
      </c>
      <c r="X29" t="s">
        <v>830</v>
      </c>
    </row>
    <row r="30" spans="1:24" x14ac:dyDescent="0.25">
      <c r="A30" t="s">
        <v>819</v>
      </c>
      <c r="B30" t="s">
        <v>818</v>
      </c>
      <c r="C30" t="s">
        <v>14</v>
      </c>
      <c r="E30" t="s">
        <v>17</v>
      </c>
      <c r="F30" s="281">
        <v>817.45</v>
      </c>
      <c r="G30" s="281">
        <v>1634.91</v>
      </c>
      <c r="H30" s="281">
        <v>1389.67</v>
      </c>
      <c r="I30" s="281">
        <v>2329.7399999999998</v>
      </c>
      <c r="K30" t="s">
        <v>218</v>
      </c>
      <c r="L30" t="s">
        <v>218</v>
      </c>
      <c r="M30" t="s">
        <v>218</v>
      </c>
      <c r="N30" t="s">
        <v>218</v>
      </c>
      <c r="O30" t="s">
        <v>831</v>
      </c>
      <c r="P30" t="s">
        <v>763</v>
      </c>
      <c r="Q30" t="s">
        <v>53</v>
      </c>
      <c r="R30" t="s">
        <v>53</v>
      </c>
      <c r="S30" t="s">
        <v>462</v>
      </c>
      <c r="T30" t="s">
        <v>218</v>
      </c>
      <c r="U30" t="s">
        <v>218</v>
      </c>
      <c r="V30" t="s">
        <v>805</v>
      </c>
      <c r="W30" t="s">
        <v>831</v>
      </c>
      <c r="X30" t="s">
        <v>763</v>
      </c>
    </row>
    <row r="31" spans="1:24" x14ac:dyDescent="0.25">
      <c r="A31" t="s">
        <v>206</v>
      </c>
      <c r="B31" t="s">
        <v>205</v>
      </c>
      <c r="C31" t="s">
        <v>13</v>
      </c>
      <c r="E31" t="s">
        <v>16</v>
      </c>
      <c r="F31" s="281">
        <v>719.68</v>
      </c>
      <c r="G31" s="281">
        <v>1439.36</v>
      </c>
      <c r="H31" s="281">
        <v>1223.45</v>
      </c>
      <c r="I31" s="281">
        <v>2051.09</v>
      </c>
      <c r="K31" t="s">
        <v>46</v>
      </c>
      <c r="L31" t="s">
        <v>112</v>
      </c>
      <c r="M31" t="s">
        <v>49</v>
      </c>
      <c r="N31" t="s">
        <v>112</v>
      </c>
      <c r="O31" t="s">
        <v>822</v>
      </c>
      <c r="P31" t="s">
        <v>112</v>
      </c>
      <c r="Q31" t="s">
        <v>53</v>
      </c>
      <c r="R31" t="s">
        <v>112</v>
      </c>
      <c r="S31" t="s">
        <v>224</v>
      </c>
      <c r="T31" t="s">
        <v>133</v>
      </c>
      <c r="U31" t="s">
        <v>133</v>
      </c>
      <c r="V31" t="s">
        <v>223</v>
      </c>
      <c r="W31" t="s">
        <v>833</v>
      </c>
      <c r="X31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9"/>
  <sheetViews>
    <sheetView workbookViewId="0">
      <selection sqref="A1:B2"/>
    </sheetView>
  </sheetViews>
  <sheetFormatPr defaultColWidth="35.5703125" defaultRowHeight="15" x14ac:dyDescent="0.25"/>
  <sheetData>
    <row r="1" spans="1:7" ht="26.25" x14ac:dyDescent="0.25">
      <c r="A1" s="376" t="s">
        <v>457</v>
      </c>
      <c r="B1" s="377"/>
      <c r="C1" s="25" t="s">
        <v>620</v>
      </c>
      <c r="D1" s="26" t="s">
        <v>621</v>
      </c>
      <c r="E1" s="26" t="s">
        <v>622</v>
      </c>
      <c r="F1" s="26" t="s">
        <v>623</v>
      </c>
      <c r="G1" s="26" t="s">
        <v>624</v>
      </c>
    </row>
    <row r="2" spans="1:7" ht="79.5" thickBot="1" x14ac:dyDescent="0.3">
      <c r="A2" s="378"/>
      <c r="B2" s="379"/>
      <c r="C2" s="27" t="s">
        <v>625</v>
      </c>
      <c r="D2" s="28" t="s">
        <v>625</v>
      </c>
      <c r="E2" s="28" t="s">
        <v>626</v>
      </c>
      <c r="F2" s="28" t="s">
        <v>627</v>
      </c>
      <c r="G2" s="28" t="s">
        <v>628</v>
      </c>
    </row>
    <row r="3" spans="1:7" ht="23.25" x14ac:dyDescent="0.25">
      <c r="A3" s="380" t="s">
        <v>629</v>
      </c>
      <c r="B3" s="381"/>
      <c r="C3" s="381"/>
      <c r="D3" s="381"/>
      <c r="E3" s="381"/>
      <c r="F3" s="381"/>
      <c r="G3" s="382"/>
    </row>
    <row r="4" spans="1:7" ht="23.25" x14ac:dyDescent="0.25">
      <c r="A4" s="357" t="s">
        <v>630</v>
      </c>
      <c r="B4" s="358"/>
      <c r="C4" s="29" t="str">
        <f ca="1">IF(ISNA(VLOOKUP($C$5,'[1]Master '!$C$3:$EV$69,7,FALSE)),"",VLOOKUP($C$5,'[1]Master '!$C$3:$EV$69,7,FALSE))</f>
        <v>N/A</v>
      </c>
      <c r="D4" s="29" t="str">
        <f ca="1">IF(ISNA(VLOOKUP($D$5,'[1]Master '!$C$70:$EV$190,7,FALSE)),"",VLOOKUP($D$5,'[1]Master '!$C$70:$EV$190,7,FALSE))</f>
        <v>N/A</v>
      </c>
      <c r="E4" s="29" t="str">
        <f ca="1">IF(ISNA(VLOOKUP($E$5,'[1]Master '!$C$70:$EV$190,7,FALSE)),"",VLOOKUP($E$5,'[1]Master '!$C$70:$EV$190,7,FALSE))</f>
        <v>N/A</v>
      </c>
      <c r="F4" s="29" t="str">
        <f ca="1">IF(ISNA(VLOOKUP($F$5,'[1]Master '!$C$70:$EV$190,7,FALSE)),"",VLOOKUP($F$5,'[1]Master '!$C$70:$EV$190,7,FALSE))</f>
        <v>N/A</v>
      </c>
      <c r="G4" s="30" t="str">
        <f ca="1">IF(ISNA(VLOOKUP($G$5,'[1]Master '!$C$70:$EV$190,7,FALSE)),"",VLOOKUP($G$5,'[1]Master '!$C$70:$EV$190,7,FALSE))</f>
        <v>N/A</v>
      </c>
    </row>
    <row r="5" spans="1:7" ht="23.25" x14ac:dyDescent="0.25">
      <c r="A5" s="357" t="s">
        <v>631</v>
      </c>
      <c r="B5" s="358"/>
      <c r="C5" s="29" t="str">
        <f ca="1">IF(ISNA(VLOOKUP($C$5,'[1]Master '!$C$3:$EV$69,8,FALSE)),"",VLOOKUP($C$5,'[1]Master '!$C$3:$EV$69,8,FALSE))</f>
        <v>N/A</v>
      </c>
      <c r="D5" s="29" t="str">
        <f ca="1">IF(ISNA(VLOOKUP($D$5,'[1]Master '!$C$70:$EV$190,8,FALSE)),"",VLOOKUP($D$5,'[1]Master '!$C$70:$EV$190,8,FALSE))</f>
        <v>N/A</v>
      </c>
      <c r="E5" s="29" t="str">
        <f ca="1">IF(ISNA(VLOOKUP($E$5,'[1]Master '!$C$70:$EV$190,8,FALSE)),"",VLOOKUP($E$5,'[1]Master '!$C$70:$EV$190,8,FALSE))</f>
        <v>N/A</v>
      </c>
      <c r="F5" s="29" t="str">
        <f ca="1">IF(ISNA(VLOOKUP($F$5,'[1]Master '!$C$70:$EV$190,8,FALSE)),"",VLOOKUP($F$5,'[1]Master '!$C$70:$EV$190,8,FALSE))</f>
        <v>N/A</v>
      </c>
      <c r="G5" s="30" t="str">
        <f ca="1">IF(ISNA(VLOOKUP($G$5,'[1]Master '!$C$70:$EV$190,8,FALSE)),"",VLOOKUP($G$5,'[1]Master '!$C$70:$EV$190,8,FALSE))</f>
        <v>N/A</v>
      </c>
    </row>
    <row r="6" spans="1:7" ht="23.25" x14ac:dyDescent="0.25">
      <c r="A6" s="383" t="s">
        <v>632</v>
      </c>
      <c r="B6" s="384"/>
      <c r="C6" s="29" t="str">
        <f ca="1">IF(ISNA(VLOOKUP($C$5,'[1]Master '!$C$3:$EV$69,36,FALSE)),"",VLOOKUP($C$5,'[1]Master '!$C$3:$EV$69,36,FALSE))</f>
        <v>N/A</v>
      </c>
      <c r="D6" s="29" t="str">
        <f ca="1">IF(ISNA(VLOOKUP($D$5,'[1]Master '!$C$70:$EV$190,36,FALSE)),"",VLOOKUP($D$5,'[1]Master '!$C$70:$EV$190,36,FALSE))</f>
        <v>N/A</v>
      </c>
      <c r="E6" s="29" t="str">
        <f ca="1">IF(ISNA(VLOOKUP($E$5,'[1]Master '!$C$70:$EV$190,36,FALSE)),"",VLOOKUP($E$5,'[1]Master '!$C$70:$EV$190,36,FALSE))</f>
        <v>N/A</v>
      </c>
      <c r="F6" s="29" t="str">
        <f ca="1">IF(ISNA(VLOOKUP($F$5,'[1]Master '!$C$70:$EV$190,36,FALSE)),"",VLOOKUP($F$5,'[1]Master '!$C$70:$EV$190,36,FALSE))</f>
        <v>N/A</v>
      </c>
      <c r="G6" s="30" t="str">
        <f ca="1">IF(ISNA(VLOOKUP($G$5,'[1]Master '!$C$70:$EV$190,36,FALSE)),"",VLOOKUP($G$5,'[1]Master '!$C$70:$EV$190,36,FALSE))</f>
        <v>Embedded</v>
      </c>
    </row>
    <row r="7" spans="1:7" ht="23.25" x14ac:dyDescent="0.25">
      <c r="A7" s="357" t="s">
        <v>633</v>
      </c>
      <c r="B7" s="358"/>
      <c r="C7" s="29">
        <f ca="1">IF(ISNA(VLOOKUP($C$5,'[1]Master '!$C$3:$EV$69,9,FALSE)),"",VLOOKUP($C$5,'[1]Master '!$C$3:$EV$69,9,FALSE))</f>
        <v>7600</v>
      </c>
      <c r="D7" s="29">
        <f ca="1">IF(ISNA(VLOOKUP($D$5,'[1]Master '!$C$70:$EV$190,9,FALSE)),"",VLOOKUP($D$5,'[1]Master '!$C$70:$EV$190,9,FALSE))</f>
        <v>7900</v>
      </c>
      <c r="E7" s="29">
        <f ca="1">IF(ISNA(VLOOKUP($E$5,'[1]Master '!$C$70:$EV$190,9,FALSE)),"",VLOOKUP($E$5,'[1]Master '!$C$70:$EV$190,9,FALSE))</f>
        <v>6550</v>
      </c>
      <c r="F7" s="29">
        <f ca="1">IF(ISNA(VLOOKUP($F$5,'[1]Master '!$C$70:$EV$190,9,FALSE)),"",VLOOKUP($F$5,'[1]Master '!$C$70:$EV$190,9,FALSE))</f>
        <v>2000</v>
      </c>
      <c r="G7" s="30">
        <f ca="1">IF(ISNA(VLOOKUP($G$5,'[1]Master '!$C$70:$EV$190,9,FALSE)),"",VLOOKUP($G$5,'[1]Master '!$C$70:$EV$190,9,FALSE))</f>
        <v>2450</v>
      </c>
    </row>
    <row r="8" spans="1:7" ht="23.25" x14ac:dyDescent="0.25">
      <c r="A8" s="357" t="s">
        <v>634</v>
      </c>
      <c r="B8" s="358"/>
      <c r="C8" s="29">
        <f ca="1">IF(ISNA(VLOOKUP($C$5,'[1]Master '!$C$3:$EV$69,10,FALSE)),"",VLOOKUP($C$5,'[1]Master '!$C$3:$EV$69,10,FALSE))</f>
        <v>15200</v>
      </c>
      <c r="D8" s="29">
        <f ca="1">IF(ISNA(VLOOKUP($D$5,'[1]Master '!$C$70:$EV$190,10,FALSE)),"",VLOOKUP($D$5,'[1]Master '!$C$70:$EV$190,10,FALSE))</f>
        <v>15800</v>
      </c>
      <c r="E8" s="29">
        <f ca="1">IF(ISNA(VLOOKUP($E$5,'[1]Master '!$C$70:$EV$190,10,FALSE)),"",VLOOKUP($E$5,'[1]Master '!$C$70:$EV$190,10,FALSE))</f>
        <v>13100</v>
      </c>
      <c r="F8" s="29">
        <f ca="1">IF(ISNA(VLOOKUP($F$5,'[1]Master '!$C$70:$EV$190,10,FALSE)),"",VLOOKUP($F$5,'[1]Master '!$C$70:$EV$190,10,FALSE))</f>
        <v>4000</v>
      </c>
      <c r="G8" s="30">
        <f ca="1">IF(ISNA(VLOOKUP($G$5,'[1]Master '!$C$70:$EV$190,10,FALSE)),"",VLOOKUP($G$5,'[1]Master '!$C$70:$EV$190,10,FALSE))</f>
        <v>4900</v>
      </c>
    </row>
    <row r="9" spans="1:7" ht="23.25" x14ac:dyDescent="0.25">
      <c r="A9" s="357" t="s">
        <v>635</v>
      </c>
      <c r="B9" s="358"/>
      <c r="C9" s="31" t="str">
        <f ca="1">IF(ISNA(VLOOKUP($C$5,'[1]Master '!$C$3:$EV$69,11,FALSE)),"",VLOOKUP($C$5,'[1]Master '!$C$3:$EV$69,11,FALSE))</f>
        <v>N/A</v>
      </c>
      <c r="D9" s="31" t="str">
        <f ca="1">IF(ISNA(VLOOKUP($D$5,'[1]Master '!$C$70:$EV$190,11,FALSE)),"",VLOOKUP($D$5,'[1]Master '!$C$70:$EV$190,11,FALSE))</f>
        <v>N/A</v>
      </c>
      <c r="E9" s="31" t="str">
        <f ca="1">IF(ISNA(VLOOKUP($E$5,'[1]Master '!$C$70:$EV$190,11,FALSE)),"",VLOOKUP($E$5,'[1]Master '!$C$70:$EV$190,11,FALSE))</f>
        <v>N/A</v>
      </c>
      <c r="F9" s="31" t="str">
        <f ca="1">IF(ISNA(VLOOKUP($F$5,'[1]Master '!$C$70:$EV$190,11,FALSE)),"",VLOOKUP($F$5,'[1]Master '!$C$70:$EV$190,11,FALSE))</f>
        <v>N/A</v>
      </c>
      <c r="G9" s="32" t="str">
        <f ca="1">IF(ISNA(VLOOKUP($G$5,'[1]Master '!$C$70:$EV$190,11,FALSE)),"",VLOOKUP($G$5,'[1]Master '!$C$70:$EV$190,11,FALSE))</f>
        <v>As noted below</v>
      </c>
    </row>
    <row r="10" spans="1:7" ht="24" thickBot="1" x14ac:dyDescent="0.3">
      <c r="A10" s="359" t="s">
        <v>636</v>
      </c>
      <c r="B10" s="360"/>
      <c r="C10" s="33" t="s">
        <v>17</v>
      </c>
      <c r="D10" s="33" t="s">
        <v>17</v>
      </c>
      <c r="E10" s="33"/>
      <c r="F10" s="33"/>
      <c r="G10" s="34"/>
    </row>
    <row r="11" spans="1:7" ht="23.25" x14ac:dyDescent="0.25">
      <c r="A11" s="373" t="s">
        <v>637</v>
      </c>
      <c r="B11" s="374"/>
      <c r="C11" s="374"/>
      <c r="D11" s="374"/>
      <c r="E11" s="374"/>
      <c r="F11" s="374"/>
      <c r="G11" s="375"/>
    </row>
    <row r="12" spans="1:7" ht="23.25" x14ac:dyDescent="0.25">
      <c r="A12" s="357" t="s">
        <v>638</v>
      </c>
      <c r="B12" s="358"/>
      <c r="C12" s="35" t="s">
        <v>216</v>
      </c>
      <c r="D12" s="35" t="s">
        <v>216</v>
      </c>
      <c r="E12" s="35" t="s">
        <v>216</v>
      </c>
      <c r="F12" s="35" t="s">
        <v>216</v>
      </c>
      <c r="G12" s="36" t="s">
        <v>216</v>
      </c>
    </row>
    <row r="13" spans="1:7" ht="23.25" x14ac:dyDescent="0.25">
      <c r="A13" s="357" t="s">
        <v>639</v>
      </c>
      <c r="B13" s="358"/>
      <c r="C13" s="35" t="s">
        <v>216</v>
      </c>
      <c r="D13" s="35" t="s">
        <v>216</v>
      </c>
      <c r="E13" s="35" t="s">
        <v>216</v>
      </c>
      <c r="F13" s="35" t="s">
        <v>216</v>
      </c>
      <c r="G13" s="37" t="s">
        <v>216</v>
      </c>
    </row>
    <row r="14" spans="1:7" ht="23.25" x14ac:dyDescent="0.25">
      <c r="A14" s="357" t="s">
        <v>640</v>
      </c>
      <c r="B14" s="358"/>
      <c r="C14" s="35" t="s">
        <v>216</v>
      </c>
      <c r="D14" s="35" t="s">
        <v>216</v>
      </c>
      <c r="E14" s="35" t="s">
        <v>216</v>
      </c>
      <c r="F14" s="35" t="s">
        <v>216</v>
      </c>
      <c r="G14" s="37" t="s">
        <v>216</v>
      </c>
    </row>
    <row r="15" spans="1:7" ht="23.25" x14ac:dyDescent="0.25">
      <c r="A15" s="357" t="s">
        <v>641</v>
      </c>
      <c r="B15" s="358"/>
      <c r="C15" s="35" t="s">
        <v>216</v>
      </c>
      <c r="D15" s="35" t="s">
        <v>216</v>
      </c>
      <c r="E15" s="35" t="s">
        <v>216</v>
      </c>
      <c r="F15" s="35" t="s">
        <v>216</v>
      </c>
      <c r="G15" s="37" t="s">
        <v>216</v>
      </c>
    </row>
    <row r="16" spans="1:7" ht="24" thickBot="1" x14ac:dyDescent="0.3">
      <c r="A16" s="359" t="s">
        <v>642</v>
      </c>
      <c r="B16" s="360"/>
      <c r="C16" s="38" t="s">
        <v>216</v>
      </c>
      <c r="D16" s="38" t="s">
        <v>216</v>
      </c>
      <c r="E16" s="38" t="s">
        <v>216</v>
      </c>
      <c r="F16" s="38" t="s">
        <v>216</v>
      </c>
      <c r="G16" s="39" t="s">
        <v>216</v>
      </c>
    </row>
    <row r="17" spans="1:7" ht="23.25" x14ac:dyDescent="0.25">
      <c r="A17" s="368" t="s">
        <v>643</v>
      </c>
      <c r="B17" s="369"/>
      <c r="C17" s="369"/>
      <c r="D17" s="369"/>
      <c r="E17" s="369"/>
      <c r="F17" s="369"/>
      <c r="G17" s="370"/>
    </row>
    <row r="18" spans="1:7" ht="69.75" x14ac:dyDescent="0.25">
      <c r="A18" s="357" t="s">
        <v>644</v>
      </c>
      <c r="B18" s="358"/>
      <c r="C18" s="29">
        <f ca="1">IF(ISNA(VLOOKUP($C$5,'[1]Master '!$C$3:$EV$69,12,FALSE)),"",VLOOKUP($C$5,'[1]Master '!$C$3:$EV$69,12,FALSE))</f>
        <v>25</v>
      </c>
      <c r="D18" s="29">
        <f ca="1">IF(ISNA(VLOOKUP($D$5,'[1]Master '!$C$70:$EV$190,12,FALSE)),"",VLOOKUP($D$5,'[1]Master '!$C$70:$EV$190,12,FALSE))</f>
        <v>25</v>
      </c>
      <c r="E18" s="29">
        <f ca="1">IF(ISNA(VLOOKUP($E$5,'[1]Master '!$C$70:$EV$190,12,FALSE)),"",VLOOKUP($E$5,'[1]Master '!$C$70:$EV$190,12,FALSE))</f>
        <v>30</v>
      </c>
      <c r="F18" s="29">
        <f ca="1">IF(ISNA(VLOOKUP($F$5,'[1]Master '!$C$70:$EV$190,12,FALSE)),"",VLOOKUP($F$5,'[1]Master '!$C$70:$EV$190,12,FALSE))</f>
        <v>15</v>
      </c>
      <c r="G18" s="30" t="str">
        <f ca="1">IF(ISNA(VLOOKUP($G$5,'[1]Master '!$C$70:$EV$190,12,FALSE)),"",VLOOKUP($G$5,'[1]Master '!$C$70:$EV$190,12,FALSE))</f>
        <v>$0 Copay first 3 visits; $5 Copay thereafter</v>
      </c>
    </row>
    <row r="19" spans="1:7" ht="23.25" x14ac:dyDescent="0.25">
      <c r="A19" s="357" t="s">
        <v>645</v>
      </c>
      <c r="B19" s="358"/>
      <c r="C19" s="29">
        <f ca="1">IF(ISNA(VLOOKUP($C$5,'[1]Master '!$C$3:$EV$69,13,FALSE)),"",VLOOKUP($C$5,'[1]Master '!$C$3:$EV$69,13,FALSE))</f>
        <v>40</v>
      </c>
      <c r="D19" s="29">
        <f ca="1">IF(ISNA(VLOOKUP($D$5,'[1]Master '!$C$70:$EV$190,13,FALSE)),"",VLOOKUP($D$5,'[1]Master '!$C$70:$EV$190,13,FALSE))</f>
        <v>50</v>
      </c>
      <c r="E19" s="29">
        <f ca="1">IF(ISNA(VLOOKUP($E$5,'[1]Master '!$C$70:$EV$190,13,FALSE)),"",VLOOKUP($E$5,'[1]Master '!$C$70:$EV$190,13,FALSE))</f>
        <v>50</v>
      </c>
      <c r="F19" s="29">
        <f ca="1">IF(ISNA(VLOOKUP($F$5,'[1]Master '!$C$70:$EV$190,13,FALSE)),"",VLOOKUP($F$5,'[1]Master '!$C$70:$EV$190,13,FALSE))</f>
        <v>35</v>
      </c>
      <c r="G19" s="30">
        <f ca="1">IF(ISNA(VLOOKUP($G$5,'[1]Master '!$C$70:$EV$190,13,FALSE)),"",VLOOKUP($G$5,'[1]Master '!$C$70:$EV$190,13,FALSE))</f>
        <v>45</v>
      </c>
    </row>
    <row r="20" spans="1:7" ht="23.25" x14ac:dyDescent="0.25">
      <c r="A20" s="357" t="s">
        <v>646</v>
      </c>
      <c r="B20" s="358"/>
      <c r="C20" s="29">
        <f ca="1">IF(ISNA(VLOOKUP($C$5,'[1]Master '!$C$3:$EV$69,14,FALSE)),"",VLOOKUP($C$5,'[1]Master '!$C$3:$EV$69,14,FALSE))</f>
        <v>40</v>
      </c>
      <c r="D20" s="29">
        <f ca="1">IF(ISNA(VLOOKUP($D$5,'[1]Master '!$C$70:$EV$190,14,FALSE)),"",VLOOKUP($D$5,'[1]Master '!$C$70:$EV$190,14,FALSE))</f>
        <v>50</v>
      </c>
      <c r="E20" s="29">
        <f ca="1">IF(ISNA(VLOOKUP($E$5,'[1]Master '!$C$70:$EV$190,14,FALSE)),"",VLOOKUP($E$5,'[1]Master '!$C$70:$EV$190,14,FALSE))</f>
        <v>50</v>
      </c>
      <c r="F20" s="29">
        <f ca="1">IF(ISNA(VLOOKUP($F$5,'[1]Master '!$C$70:$EV$190,14,FALSE)),"",VLOOKUP($F$5,'[1]Master '!$C$70:$EV$190,14,FALSE))</f>
        <v>55</v>
      </c>
      <c r="G20" s="30">
        <f ca="1">IF(ISNA(VLOOKUP($G$5,'[1]Master '!$C$70:$EV$190,14,FALSE)),"",VLOOKUP($G$5,'[1]Master '!$C$70:$EV$190,14,FALSE))</f>
        <v>45</v>
      </c>
    </row>
    <row r="21" spans="1:7" ht="47.25" thickBot="1" x14ac:dyDescent="0.3">
      <c r="A21" s="359" t="s">
        <v>647</v>
      </c>
      <c r="B21" s="360"/>
      <c r="C21" s="33" t="str">
        <f ca="1">IF(ISNA(VLOOKUP($C$5,'[1]Master '!$C$3:$EV$69,15,FALSE)),"",VLOOKUP($C$5,'[1]Master '!$C$3:$EV$69,15,FALSE))</f>
        <v>Lab: $40/ X-Ray: $40</v>
      </c>
      <c r="D21" s="33" t="str">
        <f ca="1">IF(ISNA(VLOOKUP($D$5,'[1]Master '!$C$70:$EV$190,15,FALSE)),"",VLOOKUP($D$5,'[1]Master '!$C$70:$EV$190,15,FALSE))</f>
        <v>Lab: $50/ X-Ray: $50</v>
      </c>
      <c r="E21" s="33" t="str">
        <f ca="1">IF(ISNA(VLOOKUP($E$5,'[1]Master '!$C$70:$EV$190,15,FALSE)),"",VLOOKUP($E$5,'[1]Master '!$C$70:$EV$190,15,FALSE))</f>
        <v>Lab: $30/ X-Ray: $50</v>
      </c>
      <c r="F21" s="33" t="str">
        <f ca="1">IF(ISNA(VLOOKUP($F$5,'[1]Master '!$C$70:$EV$190,15,FALSE)),"",VLOOKUP($F$5,'[1]Master '!$C$70:$EV$190,15,FALSE))</f>
        <v>Lab: $35/ X-Ray: $35</v>
      </c>
      <c r="G21" s="34" t="str">
        <f ca="1">IF(ISNA(VLOOKUP($G$5,'[1]Master '!$C$70:$EV$2069,15,FALSE)),"",VLOOKUP($G$5,'[1]Master '!$C$70:$EV$190,15,FALSE))</f>
        <v>Lab: $45 Copay/ X-Ray: $45 Copay</v>
      </c>
    </row>
    <row r="22" spans="1:7" ht="23.25" x14ac:dyDescent="0.25">
      <c r="A22" s="368" t="s">
        <v>648</v>
      </c>
      <c r="B22" s="369"/>
      <c r="C22" s="369"/>
      <c r="D22" s="369"/>
      <c r="E22" s="369"/>
      <c r="F22" s="369"/>
      <c r="G22" s="370"/>
    </row>
    <row r="23" spans="1:7" ht="23.25" x14ac:dyDescent="0.25">
      <c r="A23" s="357" t="s">
        <v>649</v>
      </c>
      <c r="B23" s="358"/>
      <c r="C23" s="29">
        <f ca="1">IF(ISNA(VLOOKUP($C$5,'[1]Master '!$C$3:$EV$69,16,FALSE)),"",VLOOKUP($C$5,'[1]Master '!$C$3:$EV$69,16,FALSE))</f>
        <v>450</v>
      </c>
      <c r="D23" s="29">
        <f ca="1">IF(ISNA(VLOOKUP($D$5,'[1]Master '!$C$70:$EV$190,16,FALSE)),"",VLOOKUP($D$5,'[1]Master '!$C$70:$EV$190,16,FALSE))</f>
        <v>450</v>
      </c>
      <c r="E23" s="29">
        <f ca="1">IF(ISNA(VLOOKUP($E$5,'[1]Master '!$C$70:$EV$190,16,FALSE)),"",VLOOKUP($E$5,'[1]Master '!$C$70:$EV$190,16,FALSE))</f>
        <v>250</v>
      </c>
      <c r="F23" s="29">
        <f ca="1">IF(ISNA(VLOOKUP($F$5,'[1]Master '!$C$70:$EV$190,16,FALSE)),"",VLOOKUP($F$5,'[1]Master '!$C$70:$EV$190,16,FALSE))</f>
        <v>100</v>
      </c>
      <c r="G23" s="30">
        <f ca="1">IF(ISNA(VLOOKUP($G$5,'[1]Master '!$C$70:$EV$190,16,FALSE)),"",VLOOKUP($G$5,'[1]Master '!$C$70:$EV$190,16,FALSE))</f>
        <v>100</v>
      </c>
    </row>
    <row r="24" spans="1:7" ht="23.25" x14ac:dyDescent="0.25">
      <c r="A24" s="357" t="s">
        <v>135</v>
      </c>
      <c r="B24" s="358"/>
      <c r="C24" s="29">
        <f ca="1">IF(ISNA(VLOOKUP($C$5,'[1]Master '!$C$3:$EV$69,17,FALSE)),"",VLOOKUP($C$5,'[1]Master '!$C$3:$EV$69,17,FALSE))</f>
        <v>450</v>
      </c>
      <c r="D24" s="29">
        <f ca="1">IF(ISNA(VLOOKUP($D$5,'[1]Master '!$C$70:$EV$190,17,FALSE)),"",VLOOKUP($D$5,'[1]Master '!$C$70:$EV$190,17,FALSE))</f>
        <v>450</v>
      </c>
      <c r="E24" s="29">
        <f ca="1">IF(ISNA(VLOOKUP($E$5,'[1]Master '!$C$70:$EV$190,17,FALSE)),"",VLOOKUP($E$5,'[1]Master '!$C$70:$EV$190,17,FALSE))</f>
        <v>250</v>
      </c>
      <c r="F24" s="29">
        <f ca="1">IF(ISNA(VLOOKUP($F$5,'[1]Master '!$C$70:$EV$190,17,FALSE)),"",VLOOKUP($F$5,'[1]Master '!$C$70:$EV$190,17,FALSE))</f>
        <v>100</v>
      </c>
      <c r="G24" s="30">
        <f ca="1">IF(ISNA(VLOOKUP($G$5,'[1]Master '!$C$70:$EV$190,17,FALSE)),"",VLOOKUP($G$5,'[1]Master '!$C$70:$EV$190,17,FALSE))</f>
        <v>100</v>
      </c>
    </row>
    <row r="25" spans="1:7" ht="23.25" x14ac:dyDescent="0.25">
      <c r="A25" s="357" t="s">
        <v>650</v>
      </c>
      <c r="B25" s="358"/>
      <c r="C25" s="29">
        <f ca="1">IF(ISNA(VLOOKUP($C$5,'[1]Master '!$C$3:$EV$69,18,FALSE)),"",VLOOKUP($C$5,'[1]Master '!$C$3:$EV$69,18,FALSE))</f>
        <v>1000</v>
      </c>
      <c r="D25" s="29">
        <f ca="1">IF(ISNA(VLOOKUP($D$5,'[1]Master '!$C$70:$EV$190,18,FALSE)),"",VLOOKUP($D$5,'[1]Master '!$C$70:$EV$190,18,FALSE))</f>
        <v>1000</v>
      </c>
      <c r="E25" s="29">
        <f ca="1">IF(ISNA(VLOOKUP($E$5,'[1]Master '!$C$70:$EV$190,18,FALSE)),"",VLOOKUP($E$5,'[1]Master '!$C$70:$EV$190,18,FALSE))</f>
        <v>750</v>
      </c>
      <c r="F25" s="29">
        <f ca="1">IF(ISNA(VLOOKUP($F$5,'[1]Master '!$C$70:$EV$190,18,FALSE)),"",VLOOKUP($F$5,'[1]Master '!$C$70:$EV$190,18,FALSE))</f>
        <v>500</v>
      </c>
      <c r="G25" s="30">
        <f ca="1">IF(ISNA(VLOOKUP($G$5,'[1]Master '!$C$70:$EV$190,18,FALSE)),"",VLOOKUP($G$5,'[1]Master '!$C$70:$EV$190,18,FALSE))</f>
        <v>300</v>
      </c>
    </row>
    <row r="26" spans="1:7" ht="23.25" x14ac:dyDescent="0.25">
      <c r="A26" s="357" t="s">
        <v>554</v>
      </c>
      <c r="B26" s="358"/>
      <c r="C26" s="29">
        <f ca="1">IF(ISNA(VLOOKUP($C$5,'[1]Master '!$C$3:$EV$69,19,FALSE)),"",VLOOKUP($C$5,'[1]Master '!$C$3:$EV$69,19,FALSE))</f>
        <v>450</v>
      </c>
      <c r="D26" s="29">
        <f ca="1">IF(ISNA(VLOOKUP($D$5,'[1]Master '!$C$70:$EV$190,19,FALSE)),"",VLOOKUP($D$5,'[1]Master '!$C$70:$EV$190,19,FALSE))</f>
        <v>450</v>
      </c>
      <c r="E26" s="29">
        <f ca="1">IF(ISNA(VLOOKUP($E$5,'[1]Master '!$C$70:$EV$190,19,FALSE)),"",VLOOKUP($E$5,'[1]Master '!$C$70:$EV$190,19,FALSE))</f>
        <v>250</v>
      </c>
      <c r="F26" s="29">
        <f ca="1">IF(ISNA(VLOOKUP($F$5,'[1]Master '!$C$70:$EV$190,19,FALSE)),"",VLOOKUP($F$5,'[1]Master '!$C$70:$EV$190,19,FALSE))</f>
        <v>100</v>
      </c>
      <c r="G26" s="30">
        <f ca="1">IF(ISNA(VLOOKUP($G$5,'[1]Master '!$C$70:$EV$190,19,FALSE)),"",VLOOKUP($G$5,'[1]Master '!$C$70:$EV$190,19,FALSE))</f>
        <v>100</v>
      </c>
    </row>
    <row r="27" spans="1:7" ht="69.75" x14ac:dyDescent="0.25">
      <c r="A27" s="357" t="s">
        <v>651</v>
      </c>
      <c r="B27" s="358"/>
      <c r="C27" s="29">
        <f ca="1">IF(ISNA(VLOOKUP($C$5,'[1]Master '!$C$3:$EV$69,20,FALSE)),"",VLOOKUP($C$5,'[1]Master '!$C$3:$EV$69,20,FALSE))</f>
        <v>1000</v>
      </c>
      <c r="D27" s="29">
        <f ca="1">IF(ISNA(VLOOKUP($D$5,'[1]Master '!$C$70:$EV$190,20,FALSE)),"",VLOOKUP($D$5,'[1]Master '!$C$70:$EV$190,20,FALSE))</f>
        <v>1000</v>
      </c>
      <c r="E27" s="29">
        <f ca="1">IF(ISNA(VLOOKUP($E$5,'[1]Master '!$C$70:$EV$190,20,FALSE)),"",VLOOKUP($E$5,'[1]Master '!$C$70:$EV$190,20,FALSE))</f>
        <v>750</v>
      </c>
      <c r="F27" s="29">
        <f ca="1">IF(ISNA(VLOOKUP($F$5,'[1]Master '!$C$70:$EV$190,20,FALSE)),"",VLOOKUP($F$5,'[1]Master '!$C$70:$EV$190,20,FALSE))</f>
        <v>500</v>
      </c>
      <c r="G27" s="30" t="str">
        <f ca="1">IF(ISNA(VLOOKUP($G$5,'[1]Master '!$C$70:$EV$190,20,FALSE)),"",VLOOKUP($G$5,'[1]Master '!$C$70:$EV$190,20,FALSE))</f>
        <v>Inpatient: $300 Copay; Physician: $100 Copay</v>
      </c>
    </row>
    <row r="28" spans="1:7" ht="23.25" x14ac:dyDescent="0.25">
      <c r="A28" s="357" t="s">
        <v>652</v>
      </c>
      <c r="B28" s="358"/>
      <c r="C28" s="29">
        <f ca="1">IF(ISNA(VLOOKUP($C$5,'[1]Master '!$C$3:$EV$69,21,FALSE)),"",VLOOKUP($C$5,'[1]Master '!$C$3:$EV$69,21,FALSE))</f>
        <v>100</v>
      </c>
      <c r="D28" s="29">
        <f ca="1">IF(ISNA(VLOOKUP($D$5,'[1]Master '!$C$70:$EV$190,21,FALSE)),"",VLOOKUP($D$5,'[1]Master '!$C$70:$EV$190,21,FALSE))</f>
        <v>100</v>
      </c>
      <c r="E28" s="29">
        <f ca="1">IF(ISNA(VLOOKUP($E$5,'[1]Master '!$C$70:$EV$190,21,FALSE)),"",VLOOKUP($E$5,'[1]Master '!$C$70:$EV$190,21,FALSE))</f>
        <v>100</v>
      </c>
      <c r="F28" s="29">
        <f ca="1">IF(ISNA(VLOOKUP($F$5,'[1]Master '!$C$70:$EV$190,21,FALSE)),"",VLOOKUP($F$5,'[1]Master '!$C$70:$EV$190,21,FALSE))</f>
        <v>35</v>
      </c>
      <c r="G28" s="30">
        <f ca="1">IF(ISNA(VLOOKUP($G$5,'[1]Master '!$C$70:$EV$190,21,FALSE)),"",VLOOKUP($G$5,'[1]Master '!$C$70:$EV$190,21,FALSE))</f>
        <v>100</v>
      </c>
    </row>
    <row r="29" spans="1:7" ht="23.25" x14ac:dyDescent="0.25">
      <c r="A29" s="357" t="s">
        <v>653</v>
      </c>
      <c r="B29" s="358"/>
      <c r="C29" s="29">
        <f ca="1">IF(ISNA(VLOOKUP($C$5,'[1]Master '!$C$3:$EV$69,22,FALSE)),"",VLOOKUP($C$5,'[1]Master '!$C$3:$EV$69,22,FALSE))</f>
        <v>1000</v>
      </c>
      <c r="D29" s="29">
        <f ca="1">IF(ISNA(VLOOKUP($D$5,'[1]Master '!$C$70:$EV$190,22,FALSE)),"",VLOOKUP($D$5,'[1]Master '!$C$70:$EV$190,22,FALSE))</f>
        <v>1000</v>
      </c>
      <c r="E29" s="29">
        <f ca="1">IF(ISNA(VLOOKUP($E$5,'[1]Master '!$C$70:$EV$190,22,FALSE)),"",VLOOKUP($E$5,'[1]Master '!$C$70:$EV$190,22,FALSE))</f>
        <v>750</v>
      </c>
      <c r="F29" s="29">
        <f ca="1">IF(ISNA(VLOOKUP($F$5,'[1]Master '!$C$70:$EV$190,22,FALSE)),"",VLOOKUP($F$5,'[1]Master '!$C$70:$EV$190,22,FALSE))</f>
        <v>500</v>
      </c>
      <c r="G29" s="30">
        <f ca="1">IF(ISNA(VLOOKUP($G$5,'[1]Master '!$C$70:$EV$190,22,FALSE)),"",VLOOKUP($G$5,'[1]Master '!$C$70:$EV$190,22,FALSE))</f>
        <v>300</v>
      </c>
    </row>
    <row r="30" spans="1:7" ht="69.75" x14ac:dyDescent="0.25">
      <c r="A30" s="357" t="s">
        <v>654</v>
      </c>
      <c r="B30" s="358"/>
      <c r="C30" s="29">
        <f ca="1">IF(ISNA(VLOOKUP($C$5,'[1]Master '!$C$3:$EV$69,23,FALSE)),"",VLOOKUP($C$5,'[1]Master '!$C$3:$EV$69,23,FALSE))</f>
        <v>25</v>
      </c>
      <c r="D30" s="29">
        <f ca="1">IF(ISNA(VLOOKUP($D$5,'[1]Master '!$C$70:$EV$190,23,FALSE)),"",VLOOKUP($D$5,'[1]Master '!$C$70:$EV$190,23,FALSE))</f>
        <v>25</v>
      </c>
      <c r="E30" s="29">
        <f ca="1">IF(ISNA(VLOOKUP($E$5,'[1]Master '!$C$70:$EV$190,23,FALSE)),"",VLOOKUP($E$5,'[1]Master '!$C$70:$EV$190,23,FALSE))</f>
        <v>30</v>
      </c>
      <c r="F30" s="29">
        <f ca="1">IF(ISNA(VLOOKUP($F$5,'[1]Master '!$C$70:$EV$190,23,FALSE)),"",VLOOKUP($F$5,'[1]Master '!$C$70:$EV$190,23,FALSE))</f>
        <v>15</v>
      </c>
      <c r="G30" s="30" t="str">
        <f ca="1">IF(ISNA(VLOOKUP($G$5,'[1]Master '!$C$70:$EV$190,23,FALSE)),"",VLOOKUP($G$5,'[1]Master '!$C$70:$EV$190,23,FALSE))</f>
        <v>$0 Copay first 3 visits; $5 Mental/$5 Chemical thereafter</v>
      </c>
    </row>
    <row r="31" spans="1:7" ht="23.25" x14ac:dyDescent="0.25">
      <c r="A31" s="357" t="s">
        <v>655</v>
      </c>
      <c r="B31" s="358"/>
      <c r="C31" s="29">
        <f ca="1">IF(ISNA(VLOOKUP($C$5,'[1]Master '!$C$3:$EV$69,24,FALSE)),"",VLOOKUP($C$5,'[1]Master '!$C$3:$EV$69,24,FALSE))</f>
        <v>40</v>
      </c>
      <c r="D31" s="29">
        <f ca="1">IF(ISNA(VLOOKUP($D$5,'[1]Master '!$C$70:$EV$190,24,FALSE)),"",VLOOKUP($D$5,'[1]Master '!$C$70:$EV$190,24,FALSE))</f>
        <v>50</v>
      </c>
      <c r="E31" s="29">
        <f ca="1">IF(ISNA(VLOOKUP($E$5,'[1]Master '!$C$70:$EV$190,24,FALSE)),"",VLOOKUP($E$5,'[1]Master '!$C$70:$EV$190,24,FALSE))</f>
        <v>50</v>
      </c>
      <c r="F31" s="29">
        <f ca="1">IF(ISNA(VLOOKUP($F$5,'[1]Master '!$C$70:$EV$190,24,FALSE)),"",VLOOKUP($F$5,'[1]Master '!$C$70:$EV$190,24,FALSE))</f>
        <v>15</v>
      </c>
      <c r="G31" s="30">
        <f ca="1">IF(ISNA(VLOOKUP($G$5,'[1]Master '!$C$70:$EV$190,24,FALSE)),"",VLOOKUP($G$5,'[1]Master '!$C$70:$EV$190,24,FALSE))</f>
        <v>45</v>
      </c>
    </row>
    <row r="32" spans="1:7" ht="23.25" x14ac:dyDescent="0.25">
      <c r="A32" s="366" t="s">
        <v>98</v>
      </c>
      <c r="B32" s="367"/>
      <c r="C32" s="40">
        <f ca="1">IF(ISNA(VLOOKUP($C$5,'[1]Master '!$C$3:$EV$69,25,FALSE)),"",VLOOKUP($C$5,'[1]Master '!$C$3:$EV$69,25,FALSE))</f>
        <v>25</v>
      </c>
      <c r="D32" s="40">
        <f ca="1">IF(ISNA(VLOOKUP($D$5,'[1]Master '!$C$70:$EV$190,25,FALSE)),"",VLOOKUP($D$5,'[1]Master '!$C$70:$EV$190,25,FALSE))</f>
        <v>25</v>
      </c>
      <c r="E32" s="40">
        <f ca="1">IF(ISNA(VLOOKUP($E$5,'[1]Master '!$C$70:$EV$190,25,FALSE)),"",VLOOKUP($E$5,'[1]Master '!$C$70:$EV$190,25,FALSE))</f>
        <v>30</v>
      </c>
      <c r="F32" s="40">
        <f ca="1">IF(ISNA(VLOOKUP($F$5,'[1]Master '!$C$70:$EV$190,25,FALSE)),"",VLOOKUP($F$5,'[1]Master '!$C$70:$EV$190,25,FALSE))</f>
        <v>15</v>
      </c>
      <c r="G32" s="41">
        <f ca="1">IF(ISNA(VLOOKUP($G$5,'[1]Master '!$C$70:$EV$190,25,FALSE)),"",VLOOKUP($G$5,'[1]Master '!$C$70:$EV$190,25,FALSE))</f>
        <v>45</v>
      </c>
    </row>
    <row r="33" spans="1:7" ht="24" thickBot="1" x14ac:dyDescent="0.3">
      <c r="A33" s="366" t="s">
        <v>656</v>
      </c>
      <c r="B33" s="367"/>
      <c r="C33" s="40">
        <f ca="1">IF(ISNA(VLOOKUP($C$5,'[1]Master '!$C$3:$EV$69,37,FALSE)),"",VLOOKUP($C$5,'[1]Master '!$C$3:$EV$69,37,FALSE))</f>
        <v>10</v>
      </c>
      <c r="D33" s="40" t="str">
        <f ca="1">IF(ISNA(VLOOKUP($D$5,'[1]Master '!$C$70:$EV$190,37,FALSE)),"",VLOOKUP($D$5,'[1]Master '!$C$70:$EV$190,37,FALSE))</f>
        <v>Covered in Full</v>
      </c>
      <c r="E33" s="40" t="str">
        <f ca="1">IF(ISNA(VLOOKUP($E$5,'[1]Master '!$C$70:$EV$190,37,FALSE)),"",VLOOKUP($E$5,'[1]Master '!$C$70:$EV$190,37,FALSE))</f>
        <v>Covered in Full</v>
      </c>
      <c r="F33" s="40" t="str">
        <f ca="1">IF(ISNA(VLOOKUP($F$5,'[1]Master '!$C$70:$EV$190,37,FALSE)),"",VLOOKUP($F$5,'[1]Master '!$C$70:$EV$190,37,FALSE))</f>
        <v>Covered in Full</v>
      </c>
      <c r="G33" s="41" t="str">
        <f ca="1">IF(ISNA(VLOOKUP($G$5,'[1]Master '!$C$70:$EV$190,37,FALSE)),"",VLOOKUP($G$5,'[1]Master '!$C$70:$EV$190,37,FALSE))</f>
        <v>Covered in Full</v>
      </c>
    </row>
    <row r="34" spans="1:7" ht="23.25" x14ac:dyDescent="0.25">
      <c r="A34" s="368" t="s">
        <v>151</v>
      </c>
      <c r="B34" s="369"/>
      <c r="C34" s="369"/>
      <c r="D34" s="369"/>
      <c r="E34" s="369"/>
      <c r="F34" s="369"/>
      <c r="G34" s="370"/>
    </row>
    <row r="35" spans="1:7" ht="23.25" x14ac:dyDescent="0.25">
      <c r="A35" s="357" t="s">
        <v>175</v>
      </c>
      <c r="B35" s="358"/>
      <c r="C35" s="29">
        <f ca="1">IF(ISNA(VLOOKUP($C$5,'[1]Master '!$C$3:$EV$69,26,FALSE)),"",VLOOKUP($C$5,'[1]Master '!$C$3:$EV$69,26,FALSE))</f>
        <v>40</v>
      </c>
      <c r="D35" s="29">
        <f ca="1">IF(ISNA(VLOOKUP($D$5,'[1]Master '!$C$70:$EV$190,26,FALSE)),"",VLOOKUP($D$5,'[1]Master '!$C$70:$EV$190,26,FALSE))</f>
        <v>50</v>
      </c>
      <c r="E35" s="29">
        <f ca="1">IF(ISNA(VLOOKUP($E$5,'[1]Master '!$C$70:$EV$190,26,FALSE)),"",VLOOKUP($E$5,'[1]Master '!$C$70:$EV$190,26,FALSE))</f>
        <v>50</v>
      </c>
      <c r="F35" s="29">
        <f ca="1">IF(ISNA(VLOOKUP($F$5,'[1]Master '!$C$70:$EV$190,26,FALSE)),"",VLOOKUP($F$5,'[1]Master '!$C$70:$EV$190,26,FALSE))</f>
        <v>35</v>
      </c>
      <c r="G35" s="42">
        <f ca="1">IF(ISNA(VLOOKUP($G$5,'[1]Master '!$C$70:$EV$190,26,FALSE)),"",VLOOKUP($G$5,'[1]Master '!$C$70:$EV$190,26,FALSE))</f>
        <v>45</v>
      </c>
    </row>
    <row r="36" spans="1:7" ht="93" x14ac:dyDescent="0.25">
      <c r="A36" s="357" t="s">
        <v>657</v>
      </c>
      <c r="B36" s="358"/>
      <c r="C36" s="29" t="str">
        <f ca="1">IF(ISNA(VLOOKUP($C$5,'[1]Master '!$C$3:$EV$69,27,FALSE)),"",VLOOKUP(C$5,'[1]Master '!$C$3:$EV$69,27,FALSE))</f>
        <v>$40 Copay for up to 60 visits per contract year</v>
      </c>
      <c r="D36" s="29" t="str">
        <f ca="1">IF(ISNA(VLOOKUP($D$5,'[1]Master '!$C$70:$EV$190,27,FALSE)),"",VLOOKUP($D$5,'[1]Master '!$C$70:$EV$190,27,FALSE))</f>
        <v>$50 Copay for up to 60 visits per contract year</v>
      </c>
      <c r="E36" s="29" t="str">
        <f ca="1">IF(ISNA(VLOOKUP($E$5,'[1]Master '!$C$70:$EV$190,27,FALSE)),"",VLOOKUP($E$5,'[1]Master '!$C$70:$EV$190,27,FALSE))</f>
        <v>$50 Copay for up to 60 visits per contract year</v>
      </c>
      <c r="F36" s="29" t="str">
        <f ca="1">IF(ISNA(VLOOKUP($F$5,'[1]Master '!$C$70:$EV$190,27,FALSE)),"",VLOOKUP($F$5,'[1]Master '!$C$70:$EV$190,27,FALSE))</f>
        <v>$25 Copay for up to 60 visits per contract year</v>
      </c>
      <c r="G36" s="43" t="str">
        <f ca="1">IF(ISNA(VLOOKUP($G$5,'[1]Master '!$C$70:$EV$190,27,FALSE)),"",VLOOKUP($G$5,'[1]Master '!$C$70:$EV$190,27,FALSE))</f>
        <v>$45 Copay for up to 54 visits per condition/year combined therapies</v>
      </c>
    </row>
    <row r="37" spans="1:7" ht="139.5" x14ac:dyDescent="0.25">
      <c r="A37" s="357" t="s">
        <v>658</v>
      </c>
      <c r="B37" s="358"/>
      <c r="C37" s="44" t="str">
        <f ca="1">IF(ISNA(VLOOKUP($C$5,'[1]Master '!$C$3:$EV$69,28,FALSE)),"",VLOOKUP($C$5,'[1]Master '!$C$3:$EV$69,28,FALSE))</f>
        <v>Adult/ Pediatric: $40 Copay for one routine exam per year</v>
      </c>
      <c r="D37" s="45" t="str">
        <f ca="1">IF(ISNA(VLOOKUP($D$5,'[1]Master '!$C$70:$EV$190,28,FALSE)),"",VLOOKUP($D$5,'[1]Master '!$C$70:$EV$190,28,FALSE))</f>
        <v>Adult/ Pediatric: $50 Copay for one routine exam per year</v>
      </c>
      <c r="E37" s="45" t="str">
        <f ca="1">IF(ISNA(VLOOKUP($E$5,'[1]Master '!$C$70:$EV$190,28,FALSE)),"",VLOOKUP($E$5,'[1]Master '!$C$70:$EV$190,28,FALSE))</f>
        <v>Adult/ Pediatric: $50 Copay for one routine exam per year</v>
      </c>
      <c r="F37" s="45" t="str">
        <f ca="1">IF(ISNA(VLOOKUP($F$5,'[1]Master '!$C$70:$EV$190,28,FALSE)),"",VLOOKUP($F$5,'[1]Master '!$C$70:$EV$190,28,FALSE))</f>
        <v>Pediatric: $15 copay for one routine exam per year</v>
      </c>
      <c r="G37" s="43" t="str">
        <f ca="1">IF(ISNA(VLOOKUP($G$5,'[1]Master '!$C$70:$EV$190,28,FALSE)),"",VLOOKUP($G$5,'[1]Master '!$C$70:$EV$190,28,FALSE))</f>
        <v>Adult: $45 Copay (one exam per every other Plan Year)/ Pediatric: $45 Copay (one exam per 12-month period)</v>
      </c>
    </row>
    <row r="38" spans="1:7" ht="116.25" x14ac:dyDescent="0.25">
      <c r="A38" s="357" t="s">
        <v>659</v>
      </c>
      <c r="B38" s="358"/>
      <c r="C38" s="29" t="str">
        <f ca="1">IF(ISNA(VLOOKUP($C$5,'[1]Master '!$C$3:$EV$69,29,FALSE)),"",VLOOKUP($C$5,'[1]Master '!$C$3:$EV$69,29,FALSE))</f>
        <v>Adult: $60 allowance per year; Pediatric: Covered at 50% for one purchase per year</v>
      </c>
      <c r="D38" s="40" t="str">
        <f ca="1">IF(ISNA(VLOOKUP($D$5,'[1]Master '!$C$70:$EV$190,29,FALSE)),"",VLOOKUP($D$5,'[1]Master '!$C$70:$EV$190,29,FALSE))</f>
        <v>Adult: $60 allowance per year; Pediatric: Covered at 50% for one purchase per year</v>
      </c>
      <c r="E38" s="40" t="str">
        <f ca="1">IF(ISNA(VLOOKUP($E$5,'[1]Master '!$C$70:$EV$190,29,FALSE)),"",VLOOKUP($E$5,'[1]Master '!$C$70:$EV$190,29,FALSE))</f>
        <v>Adult: $60 allowance per year; Pediatric: Covered at 50% for one purchase per year</v>
      </c>
      <c r="F38" s="40" t="str">
        <f ca="1">IF(ISNA(VLOOKUP($F$5,'[1]Master '!$C$70:$EV$190,29,FALSE)),"",VLOOKUP($F$5,'[1]Master '!$C$70:$EV$190,29,FALSE))</f>
        <v>Pediatric: Covered at 90% for one purchase per year</v>
      </c>
      <c r="G38" s="43" t="str">
        <f ca="1">IF(ISNA(VLOOKUP($G$5,'[1]Master '!$C$70:$EV$190,29,FALSE)),"",VLOOKUP($G$5,'[1]Master '!$C$70:$EV$190,29,FALSE))</f>
        <v>Pediatric: Covered at 50%, for one purchase per year</v>
      </c>
    </row>
    <row r="39" spans="1:7" ht="23.25" x14ac:dyDescent="0.25">
      <c r="A39" s="371" t="s">
        <v>660</v>
      </c>
      <c r="B39" s="372"/>
      <c r="C39" s="46" t="str">
        <f ca="1">IF(ISNA(VLOOKUP($C$5,'[1]Master '!$C$3:$EV$69,35,FALSE)),"",VLOOKUP($C$5,'[1]Master '!$C$3:$EV$69,35,FALSE))</f>
        <v>Yes</v>
      </c>
      <c r="D39" s="47" t="str">
        <f ca="1">IF(ISNA(VLOOKUP($D$5,'[1]Master '!$C$70:$EV$190,35,FALSE)),"",VLOOKUP($D$5,'[1]Master '!$C$70:$EV$190,35,FALSE))</f>
        <v>Yes</v>
      </c>
      <c r="E39" s="48" t="str">
        <f ca="1">IF(ISNA(VLOOKUP($E$5,'[1]Master '!$C$70:$EV$190,35,FALSE)),"",VLOOKUP($E$5,'[1]Master '!$C$70:$EV$190,35,FALSE))</f>
        <v>Yes</v>
      </c>
      <c r="F39" s="47" t="str">
        <f ca="1">IF(ISNA(VLOOKUP($F$5,'[1]Master '!$C$70:$EV$190,35,FALSE)),"",VLOOKUP($F$5,'[1]Master '!$C$70:$EV$190,35,FALSE))</f>
        <v>Yes</v>
      </c>
      <c r="G39" s="49" t="str">
        <f ca="1">IF(ISNA(VLOOKUP($G$5,'[1]Master '!$C$70:$EV$190,35,FALSE)),"",VLOOKUP($G$5,'[1]Master '!$C$70:$EV$190,35,FALSE))</f>
        <v>Yes</v>
      </c>
    </row>
    <row r="40" spans="1:7" ht="24" thickBot="1" x14ac:dyDescent="0.3">
      <c r="A40" s="359" t="s">
        <v>661</v>
      </c>
      <c r="B40" s="360"/>
      <c r="C40" s="50" t="str">
        <f ca="1">IF(ISNA(VLOOKUP($C$5,'[1]Master '!$C$3:$EV$69,30,FALSE)),"",VLOOKUP($C$5,'[1]Master '!$C$3:$EV$69,30,FALSE))</f>
        <v>Covered at 50%</v>
      </c>
      <c r="D40" s="33" t="str">
        <f ca="1">IF(ISNA(VLOOKUP($D$5,'[1]Master '!$C$70:$EV$190,30,FALSE)),"",VLOOKUP($D$5,'[1]Master '!$C$70:$EV$190,30,FALSE))</f>
        <v>Covered at 50%</v>
      </c>
      <c r="E40" s="33" t="str">
        <f ca="1">IF(ISNA(VLOOKUP($E$5,'[1]Master '!$C$70:$EV$190,30,FALSE)),"",VLOOKUP($E$5,'[1]Master '!$C$70:$EV$190,30,FALSE))</f>
        <v>Covered at 50%</v>
      </c>
      <c r="F40" s="33" t="str">
        <f ca="1">IF(ISNA(VLOOKUP($F$5,'[1]Master '!$C$70:$EV$190,30,FALSE)),"",VLOOKUP($F$5,'[1]Master '!$C$70:$EV$190,30,FALSE))</f>
        <v>Covered at 90%</v>
      </c>
      <c r="G40" s="51" t="str">
        <f ca="1">IF(ISNA(VLOOKUP($G$5,'[1]Master '!$C$70:$EV$190,30,FALSE)),"",VLOOKUP($G$5,'[1]Master '!$C$70:$EV$190,30,FALSE))</f>
        <v>Covered at 50%</v>
      </c>
    </row>
    <row r="41" spans="1:7" ht="23.25" x14ac:dyDescent="0.25">
      <c r="A41" s="373" t="s">
        <v>662</v>
      </c>
      <c r="B41" s="374"/>
      <c r="C41" s="374"/>
      <c r="D41" s="374"/>
      <c r="E41" s="374"/>
      <c r="F41" s="374"/>
      <c r="G41" s="375"/>
    </row>
    <row r="42" spans="1:7" ht="23.25" x14ac:dyDescent="0.25">
      <c r="A42" s="357" t="s">
        <v>663</v>
      </c>
      <c r="B42" s="358"/>
      <c r="C42" s="29" t="str">
        <f ca="1">IF(ISNA(VLOOKUP($C$5,'[1]Master '!$C$3:$EV$69,31,FALSE)),"",VLOOKUP($C$5,'[1]Master '!$C$3:$EV$69,31,FALSE))</f>
        <v>N/A</v>
      </c>
      <c r="D42" s="29" t="str">
        <f ca="1">IF(ISNA(VLOOKUP($D$5,'[1]Master '!$C$70:$EV$190,31,FALSE)),"",VLOOKUP($D$5,'[1]Master '!$C$70:$EV$190,31,FALSE))</f>
        <v>N/A</v>
      </c>
      <c r="E42" s="29" t="str">
        <f ca="1">IF(ISNA(VLOOKUP($E$5,'[1]Master '!$C$70:$EV$190,31,FALSE)),"",VLOOKUP($E$5,'[1]Master '!$C$70:$EV$190,31,FALSE))</f>
        <v>N/A</v>
      </c>
      <c r="F42" s="29" t="str">
        <f ca="1">IF(ISNA(VLOOKUP($F$5,'[1]Master '!$C$70:$EV$190,31,FALSE)),"",VLOOKUP($F$5,'[1]Master '!$C$70:$EV$190,31,FALSE))</f>
        <v>N/A</v>
      </c>
      <c r="G42" s="42" t="str">
        <f ca="1">IF(ISNA(VLOOKUP($G$5,'[1]Master '!$C$70:$EV$190,31,FALSE)),"",VLOOKUP($G$5,'[1]Master '!$C$70:$EV$190,31,FALSE))</f>
        <v>N/A</v>
      </c>
    </row>
    <row r="43" spans="1:7" ht="23.25" x14ac:dyDescent="0.25">
      <c r="A43" s="357" t="s">
        <v>664</v>
      </c>
      <c r="B43" s="358"/>
      <c r="C43" s="29">
        <f ca="1">IF(ISNA(VLOOKUP($C$5,'[1]Master '!$C$3:$EV$69,32,FALSE)),"",VLOOKUP($C$5,'[1]Master '!$C$3:$EV$69,32,FALSE))</f>
        <v>15</v>
      </c>
      <c r="D43" s="29">
        <f ca="1">IF(ISNA(VLOOKUP($D$5,'[1]Master '!$C$70:$EV$190,32,FALSE)),"",VLOOKUP($D$5,'[1]Master '!$C$70:$EV$190,32,FALSE))</f>
        <v>15</v>
      </c>
      <c r="E43" s="29">
        <f ca="1">IF(ISNA(VLOOKUP($E$5,'[1]Master '!$C$70:$EV$190,32,FALSE)),"",VLOOKUP($E$5,'[1]Master '!$C$70:$EV$190,32,FALSE))</f>
        <v>5</v>
      </c>
      <c r="F43" s="29">
        <f ca="1">IF(ISNA(VLOOKUP($F$5,'[1]Master '!$C$70:$EV$190,32,FALSE)),"",VLOOKUP($F$5,'[1]Master '!$C$70:$EV$190,32,FALSE))</f>
        <v>10</v>
      </c>
      <c r="G43" s="30">
        <f ca="1">IF(ISNA(VLOOKUP($G$5,'[1]Master '!$C$70:$EV$190,32,FALSE)),"",VLOOKUP($G$5,'[1]Master '!$C$70:$EV$190,32,FALSE))</f>
        <v>5</v>
      </c>
    </row>
    <row r="44" spans="1:7" ht="23.25" x14ac:dyDescent="0.25">
      <c r="A44" s="357" t="s">
        <v>665</v>
      </c>
      <c r="B44" s="358"/>
      <c r="C44" s="52">
        <f ca="1">IF(ISNA(VLOOKUP($C$5,'[1]Master '!$C$3:$EV$69,33,FALSE)),"",VLOOKUP($C$5,'[1]Master '!$C$3:$EV$69,33,FALSE))</f>
        <v>0.4</v>
      </c>
      <c r="D44" s="52">
        <f ca="1">IF(ISNA(VLOOKUP($D$5,'[1]Master '!$C$70:$EV$190,33,FALSE)),"",VLOOKUP($D$5,'[1]Master '!$C$70:$EV$190,33,FALSE))</f>
        <v>0.4</v>
      </c>
      <c r="E44" s="44">
        <f ca="1">IF(ISNA(VLOOKUP($E$5,'[1]Master '!$C$70:$EV$190,33,FALSE)),"",VLOOKUP($E$5,'[1]Master '!$C$70:$EV$190,33,FALSE))</f>
        <v>35</v>
      </c>
      <c r="F44" s="44">
        <f ca="1">IF(ISNA(VLOOKUP($F$5,'[1]Master '!$C$70:$EV$190,33,FALSE)),"",VLOOKUP($F$5,'[1]Master '!$C$70:$EV$190,33,FALSE))</f>
        <v>30</v>
      </c>
      <c r="G44" s="53">
        <f ca="1">IF(ISNA(VLOOKUP($G$5,'[1]Master '!$C$70:$EV$190,33,FALSE)),"",VLOOKUP($G$5,'[1]Master '!$C$70:$EV$190,33,FALSE))</f>
        <v>30</v>
      </c>
    </row>
    <row r="45" spans="1:7" ht="24" thickBot="1" x14ac:dyDescent="0.3">
      <c r="A45" s="359" t="s">
        <v>666</v>
      </c>
      <c r="B45" s="360"/>
      <c r="C45" s="54">
        <f ca="1">IF(ISNA(VLOOKUP($C$5,'[1]Master '!$C$3:$EV$69,34,FALSE)),"",VLOOKUP($C$5,'[1]Master '!$C$3:$EV$69,34,FALSE))</f>
        <v>0.5</v>
      </c>
      <c r="D45" s="54">
        <f ca="1">IF(ISNA(VLOOKUP($D$5,'[1]Master '!$C$70:$EV$190,34,FALSE)),"",VLOOKUP($D$5,'[1]Master '!$C$70:$EV$190,34,FALSE))</f>
        <v>0.5</v>
      </c>
      <c r="E45" s="55">
        <f ca="1">IF(ISNA(VLOOKUP($E$5,'[1]Master '!$C$70:$EV$190,34,FALSE)),"",VLOOKUP($E$5,'[1]Master '!$C$70:$EV$190,34,FALSE))</f>
        <v>70</v>
      </c>
      <c r="F45" s="55">
        <f ca="1">IF(ISNA(VLOOKUP($F$5,'[1]Master '!$C$70:$EV$190,34,FALSE)),"",VLOOKUP($F$5,'[1]Master '!$C$70:$EV$190,34,FALSE))</f>
        <v>60</v>
      </c>
      <c r="G45" s="56">
        <f ca="1">IF(ISNA(VLOOKUP($G$5,'[1]Master '!$C$70:$EV$190,34,FALSE)),"",VLOOKUP($G$5,'[1]Master '!$C$70:$EV$190,34,FALSE))</f>
        <v>50</v>
      </c>
    </row>
    <row r="46" spans="1:7" ht="47.25" thickBot="1" x14ac:dyDescent="0.3">
      <c r="A46" s="57" t="s">
        <v>667</v>
      </c>
      <c r="B46" s="58" t="s">
        <v>668</v>
      </c>
      <c r="C46" s="59" t="s">
        <v>669</v>
      </c>
      <c r="D46" s="60" t="s">
        <v>670</v>
      </c>
      <c r="E46" s="60" t="str">
        <f>D46</f>
        <v>2021 First Quarter 
Monthly Premium</v>
      </c>
      <c r="F46" s="60" t="str">
        <f>D46</f>
        <v>2021 First Quarter 
Monthly Premium</v>
      </c>
      <c r="G46" s="61" t="str">
        <f>D46</f>
        <v>2021 First Quarter 
Monthly Premium</v>
      </c>
    </row>
    <row r="47" spans="1:7" ht="23.25" x14ac:dyDescent="0.25">
      <c r="A47" s="62" t="s">
        <v>671</v>
      </c>
      <c r="B47" s="63">
        <v>7</v>
      </c>
      <c r="C47" s="64">
        <v>665.77</v>
      </c>
      <c r="D47" s="65">
        <f ca="1">IF(ISNA(VLOOKUP($D$5,'[1]Master '!$C$70:$EV$190,54,FALSE)),"",VLOOKUP($D$5,'[1]Master '!$C$70:$EV$190,54,FALSE))</f>
        <v>624.15</v>
      </c>
      <c r="E47" s="65">
        <f ca="1">IF(ISNA(VLOOKUP($E$5,'[1]Master '!$C$70:$EV$190,54,FALSE)),"",VLOOKUP($E$5,'[1]Master '!$C$70:$EV$190,54,FALSE))</f>
        <v>729.1</v>
      </c>
      <c r="F47" s="65">
        <f ca="1">IF(ISNA(VLOOKUP($F$5,'[1]Master '!$C$70:$EV$190,54,FALSE)),"",VLOOKUP($F$5,'[1]Master '!$C$70:$EV$190,54,FALSE))</f>
        <v>751.05</v>
      </c>
      <c r="G47" s="66">
        <f ca="1">IF(ISNA(VLOOKUP($G$5,'[1]Master '!$C$70:$EV$190,54,FALSE)),"",VLOOKUP($G$5,'[1]Master '!$C$70:$EV$190,54,FALSE))</f>
        <v>805.82</v>
      </c>
    </row>
    <row r="48" spans="1:7" ht="23.25" x14ac:dyDescent="0.25">
      <c r="A48" s="67" t="s">
        <v>672</v>
      </c>
      <c r="B48" s="68">
        <v>1</v>
      </c>
      <c r="C48" s="69">
        <v>1331.54</v>
      </c>
      <c r="D48" s="70">
        <f ca="1">IF(ISNA(VLOOKUP($D$5,'[1]Master '!$C$70:$EV$190,55,FALSE)),"",VLOOKUP($D$5,'[1]Master '!$C$70:$EV$190,55,FALSE))</f>
        <v>1248.3</v>
      </c>
      <c r="E48" s="70">
        <f ca="1">IF(ISNA(VLOOKUP($E$5,'[1]Master '!$C$70:$EV$190,55,FALSE)),"",VLOOKUP($E$5,'[1]Master '!$C$70:$EV$190,55,FALSE))</f>
        <v>1458.2</v>
      </c>
      <c r="F48" s="70">
        <f ca="1">IF(ISNA(VLOOKUP($F$5,'[1]Master '!$C$70:$EV$190,55,FALSE)),"",VLOOKUP($F$5,'[1]Master '!$C$70:$EV$190,55,FALSE))</f>
        <v>1502.09</v>
      </c>
      <c r="G48" s="71">
        <f ca="1">IF(ISNA(VLOOKUP($G$5,'[1]Master '!$C$70:$EV$190,55,FALSE)),"",VLOOKUP($G$5,'[1]Master '!$C$70:$EV$190,55,FALSE))</f>
        <v>1611.64</v>
      </c>
    </row>
    <row r="49" spans="1:7" ht="23.25" x14ac:dyDescent="0.25">
      <c r="A49" s="67" t="s">
        <v>673</v>
      </c>
      <c r="B49" s="68">
        <v>1</v>
      </c>
      <c r="C49" s="69">
        <v>1131.81</v>
      </c>
      <c r="D49" s="70">
        <f ca="1">IF(ISNA(VLOOKUP($D$5,'[1]Master '!$C$70:$EV$190,56,FALSE)),"",VLOOKUP($D$5,'[1]Master '!$C$70:$EV$190,56,FALSE))</f>
        <v>1061.06</v>
      </c>
      <c r="E49" s="70">
        <f ca="1">IF(ISNA(VLOOKUP($E$5,'[1]Master '!$C$70:$EV$190,56,FALSE)),"",VLOOKUP($E$5,'[1]Master '!$C$70:$EV$190,56,FALSE))</f>
        <v>1239.47</v>
      </c>
      <c r="F49" s="70">
        <f ca="1">IF(ISNA(VLOOKUP($F$5,'[1]Master '!$C$70:$EV$190,56,FALSE)),"",VLOOKUP($F$5,'[1]Master '!$C$70:$EV$190,56,FALSE))</f>
        <v>1276.78</v>
      </c>
      <c r="G49" s="71">
        <f ca="1">IF(ISNA(VLOOKUP($G$5,'[1]Master '!$C$70:$EV$190,56,FALSE)),"",VLOOKUP($G$5,'[1]Master '!$C$70:$EV$190,56,FALSE))</f>
        <v>1369.89</v>
      </c>
    </row>
    <row r="50" spans="1:7" ht="23.25" x14ac:dyDescent="0.25">
      <c r="A50" s="67" t="s">
        <v>25</v>
      </c>
      <c r="B50" s="68">
        <v>1</v>
      </c>
      <c r="C50" s="69">
        <v>1897.44</v>
      </c>
      <c r="D50" s="70">
        <f ca="1">IF(ISNA(VLOOKUP($D$5,'[1]Master '!$C$70:$EV$190,57,FALSE)),"",VLOOKUP($D$5,'[1]Master '!$C$70:$EV$190,57,FALSE))</f>
        <v>1778.83</v>
      </c>
      <c r="E50" s="70">
        <f ca="1">IF(ISNA(VLOOKUP($E$5,'[1]Master '!$C$70:$EV$190,57,FALSE)),"",VLOOKUP($E$5,'[1]Master '!$C$70:$EV$190,57,FALSE))</f>
        <v>2077.94</v>
      </c>
      <c r="F50" s="70">
        <f ca="1">IF(ISNA(VLOOKUP($F$5,'[1]Master '!$C$70:$EV$190,57,FALSE)),"",VLOOKUP($F$5,'[1]Master '!$C$70:$EV$190,57,FALSE))</f>
        <v>2140.48</v>
      </c>
      <c r="G50" s="71">
        <f ca="1">IF(ISNA(VLOOKUP($G$5,'[1]Master '!$C$70:$EV$190,57,FALSE)),"",VLOOKUP($G$5,'[1]Master '!$C$70:$EV$190,57,FALSE))</f>
        <v>2296.59</v>
      </c>
    </row>
    <row r="51" spans="1:7" ht="23.25" x14ac:dyDescent="0.25">
      <c r="A51" s="361"/>
      <c r="B51" s="362"/>
      <c r="C51" s="362"/>
      <c r="D51" s="362"/>
      <c r="E51" s="362"/>
      <c r="F51" s="362"/>
      <c r="G51" s="363"/>
    </row>
    <row r="52" spans="1:7" ht="23.25" x14ac:dyDescent="0.25">
      <c r="A52" s="364" t="s">
        <v>674</v>
      </c>
      <c r="B52" s="365"/>
      <c r="C52" s="72">
        <f t="shared" ref="C52:G52" si="0">SUMPRODUCT(C47:C50,$B$50:$B$53)</f>
        <v>665.77</v>
      </c>
      <c r="D52" s="73">
        <f t="shared" ca="1" si="0"/>
        <v>8457.24</v>
      </c>
      <c r="E52" s="73">
        <f t="shared" ca="1" si="0"/>
        <v>9879.31</v>
      </c>
      <c r="F52" s="73">
        <f t="shared" ca="1" si="0"/>
        <v>10176.699999999999</v>
      </c>
      <c r="G52" s="74">
        <f t="shared" ca="1" si="0"/>
        <v>10918.86</v>
      </c>
    </row>
    <row r="53" spans="1:7" ht="23.25" x14ac:dyDescent="0.25">
      <c r="A53" s="364" t="s">
        <v>675</v>
      </c>
      <c r="B53" s="365"/>
      <c r="C53" s="72">
        <f>C52*12</f>
        <v>7989.24</v>
      </c>
      <c r="D53" s="73">
        <f t="shared" ref="D53:G53" ca="1" si="1">D52*12</f>
        <v>101486.88</v>
      </c>
      <c r="E53" s="73">
        <f t="shared" ca="1" si="1"/>
        <v>118551.72</v>
      </c>
      <c r="F53" s="73">
        <f t="shared" ca="1" si="1"/>
        <v>122120.4</v>
      </c>
      <c r="G53" s="74">
        <f t="shared" ca="1" si="1"/>
        <v>131026.32</v>
      </c>
    </row>
    <row r="54" spans="1:7" ht="23.25" x14ac:dyDescent="0.25">
      <c r="A54" s="361"/>
      <c r="B54" s="362"/>
      <c r="C54" s="362"/>
      <c r="D54" s="362"/>
      <c r="E54" s="362"/>
      <c r="F54" s="362"/>
      <c r="G54" s="363"/>
    </row>
    <row r="55" spans="1:7" ht="23.25" x14ac:dyDescent="0.25">
      <c r="A55" s="350" t="s">
        <v>676</v>
      </c>
      <c r="B55" s="351"/>
      <c r="C55" s="352"/>
      <c r="D55" s="75">
        <f ca="1">D52-$C$55</f>
        <v>-563.94000000000051</v>
      </c>
      <c r="E55" s="75">
        <f ca="1">E52-$C$55</f>
        <v>858.1299999999992</v>
      </c>
      <c r="F55" s="75">
        <f ca="1">F52-$C$55</f>
        <v>1155.5199999999986</v>
      </c>
      <c r="G55" s="76">
        <f ca="1">G52-$C$55</f>
        <v>1897.6800000000003</v>
      </c>
    </row>
    <row r="56" spans="1:7" ht="23.25" x14ac:dyDescent="0.25">
      <c r="A56" s="350" t="s">
        <v>677</v>
      </c>
      <c r="B56" s="351"/>
      <c r="C56" s="352"/>
      <c r="D56" s="77">
        <f ca="1">D53-$C$56</f>
        <v>-6767.2799999999988</v>
      </c>
      <c r="E56" s="77">
        <f ca="1">E53-$C$56</f>
        <v>10297.559999999998</v>
      </c>
      <c r="F56" s="77">
        <f ca="1">F53-$C$56</f>
        <v>13866.239999999991</v>
      </c>
      <c r="G56" s="78">
        <f ca="1">G53-$C$56</f>
        <v>22772.160000000003</v>
      </c>
    </row>
    <row r="57" spans="1:7" ht="24" thickBot="1" x14ac:dyDescent="0.3">
      <c r="A57" s="353" t="s">
        <v>678</v>
      </c>
      <c r="B57" s="354"/>
      <c r="C57" s="355"/>
      <c r="D57" s="79">
        <f ca="1">IFERROR(D53/$C$56-1,"$0")</f>
        <v>-6.2512886340811313E-2</v>
      </c>
      <c r="E57" s="79">
        <f ca="1">IFERROR(E53/$C$56-1,"$0")</f>
        <v>9.5123919487251074E-2</v>
      </c>
      <c r="F57" s="79">
        <f ca="1">IFERROR(F53/$C$56-1,"$0")</f>
        <v>0.12808967341301236</v>
      </c>
      <c r="G57" s="80">
        <f ca="1">IFERROR(G53/$C$56-1,"$0")</f>
        <v>0.21035829015716345</v>
      </c>
    </row>
    <row r="58" spans="1:7" ht="23.25" x14ac:dyDescent="0.25">
      <c r="A58" s="356" t="s">
        <v>679</v>
      </c>
      <c r="B58" s="356"/>
      <c r="C58" s="356"/>
      <c r="D58" s="356"/>
      <c r="E58" s="356"/>
      <c r="F58" s="356"/>
      <c r="G58" s="356"/>
    </row>
    <row r="59" spans="1:7" ht="24" thickBot="1" x14ac:dyDescent="0.3">
      <c r="D59" s="79">
        <f ca="1">IFERROR(D55/$C$56-1,"$0")</f>
        <v>0</v>
      </c>
    </row>
  </sheetData>
  <protectedRanges>
    <protectedRange sqref="C10:G10" name="Out of Network"/>
  </protectedRanges>
  <mergeCells count="52">
    <mergeCell ref="A7:B7"/>
    <mergeCell ref="A1:B2"/>
    <mergeCell ref="A3:G3"/>
    <mergeCell ref="A4:B4"/>
    <mergeCell ref="A5:B5"/>
    <mergeCell ref="A6:B6"/>
    <mergeCell ref="A19:B19"/>
    <mergeCell ref="A8:B8"/>
    <mergeCell ref="A9:B9"/>
    <mergeCell ref="A10:B10"/>
    <mergeCell ref="A11:G11"/>
    <mergeCell ref="A12:B12"/>
    <mergeCell ref="A13:B13"/>
    <mergeCell ref="A14:B14"/>
    <mergeCell ref="A15:B15"/>
    <mergeCell ref="A16:B16"/>
    <mergeCell ref="A17:G17"/>
    <mergeCell ref="A18:B18"/>
    <mergeCell ref="A31:B31"/>
    <mergeCell ref="A20:B20"/>
    <mergeCell ref="A21:B21"/>
    <mergeCell ref="A22:G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G34"/>
    <mergeCell ref="A35:B35"/>
    <mergeCell ref="A36:B36"/>
    <mergeCell ref="A37:B37"/>
    <mergeCell ref="A38:B38"/>
    <mergeCell ref="A39:B39"/>
    <mergeCell ref="A40:B40"/>
    <mergeCell ref="A41:G41"/>
    <mergeCell ref="A42:B42"/>
    <mergeCell ref="A55:C55"/>
    <mergeCell ref="A56:C56"/>
    <mergeCell ref="A57:C57"/>
    <mergeCell ref="A58:G58"/>
    <mergeCell ref="A44:B44"/>
    <mergeCell ref="A45:B45"/>
    <mergeCell ref="A51:G51"/>
    <mergeCell ref="A52:B52"/>
    <mergeCell ref="A53:B53"/>
    <mergeCell ref="A54:G54"/>
  </mergeCells>
  <conditionalFormatting sqref="A58:G58">
    <cfRule type="cellIs" dxfId="11" priority="9" stopIfTrue="1" operator="lessThan">
      <formula>0</formula>
    </cfRule>
  </conditionalFormatting>
  <conditionalFormatting sqref="C39:G39">
    <cfRule type="expression" dxfId="10" priority="3">
      <formula>LEFT(C$42,1)&lt;&gt;LEFT($C$42,1)</formula>
    </cfRule>
  </conditionalFormatting>
  <conditionalFormatting sqref="D4:D10 D12:D16 D18:D21 D23:D33 D35:D38 D40 D42:D45">
    <cfRule type="expression" dxfId="9" priority="4">
      <formula>$D4&lt;&gt;$C4</formula>
    </cfRule>
  </conditionalFormatting>
  <conditionalFormatting sqref="D59">
    <cfRule type="cellIs" dxfId="8" priority="1" operator="lessThan">
      <formula>0</formula>
    </cfRule>
    <cfRule type="expression" dxfId="7" priority="2" stopIfTrue="1">
      <formula>"&lt;0"</formula>
    </cfRule>
  </conditionalFormatting>
  <conditionalFormatting sqref="D6:G6">
    <cfRule type="expression" dxfId="6" priority="15">
      <formula>$D6&lt;&gt;$C6</formula>
    </cfRule>
  </conditionalFormatting>
  <conditionalFormatting sqref="D55:G57">
    <cfRule type="cellIs" dxfId="5" priority="8" operator="lessThan">
      <formula>0</formula>
    </cfRule>
    <cfRule type="expression" dxfId="4" priority="11" stopIfTrue="1">
      <formula>"&lt;0"</formula>
    </cfRule>
  </conditionalFormatting>
  <conditionalFormatting sqref="E4:E10 E12:E16 E18:E21 E23:E33 E35:E38 E40 E42:E45">
    <cfRule type="expression" dxfId="3" priority="14">
      <formula>$E4&lt;&gt;$C4</formula>
    </cfRule>
  </conditionalFormatting>
  <conditionalFormatting sqref="F4:F5 F7:F10 F12:F16 F18:F21 F23:F33 F35:F38 F40 F42:F45">
    <cfRule type="expression" dxfId="2" priority="13">
      <formula>$F4&lt;&gt;$C4</formula>
    </cfRule>
  </conditionalFormatting>
  <conditionalFormatting sqref="F6:G6">
    <cfRule type="expression" dxfId="1" priority="5">
      <formula>#REF!&lt;&gt;#REF!</formula>
    </cfRule>
  </conditionalFormatting>
  <conditionalFormatting sqref="G4:G5 G7:G10 G13:G16 G18:G21 G23:G33 G35:G38 G40 G42:G45">
    <cfRule type="expression" dxfId="0" priority="10">
      <formula>$G4&lt;&gt;$C4</formula>
    </cfRule>
  </conditionalFormatting>
  <dataValidations disablePrompts="1" count="2">
    <dataValidation type="list" allowBlank="1" showInputMessage="1" showErrorMessage="1" sqref="C2" xr:uid="{00000000-0002-0000-0F00-000000000000}">
      <formula1>Previous_Year_Plans</formula1>
    </dataValidation>
    <dataValidation type="list" allowBlank="1" showErrorMessage="1" prompt="Select Plan" sqref="D2:G2" xr:uid="{00000000-0002-0000-0F00-000001000000}">
      <formula1>Current_Year_Plans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Gold 1</vt:lpstr>
      <vt:lpstr>Gold 2</vt:lpstr>
      <vt:lpstr>Standard</vt:lpstr>
      <vt:lpstr>Bronze Options</vt:lpstr>
      <vt:lpstr>Plat 2</vt:lpstr>
      <vt:lpstr>Silver 1</vt:lpstr>
      <vt:lpstr>Healthy NY</vt:lpstr>
      <vt:lpstr>Silver 2</vt:lpstr>
      <vt:lpstr>Plat 1</vt:lpstr>
      <vt:lpstr>All Plans</vt:lpstr>
      <vt:lpstr>DNU</vt:lpstr>
      <vt:lpstr>Sheet2</vt:lpstr>
      <vt:lpstr>Data</vt:lpstr>
      <vt:lpstr>Client Sheet</vt:lpstr>
      <vt:lpstr>2025</vt:lpstr>
      <vt:lpstr>Table</vt:lpstr>
      <vt:lpstr>Template</vt:lpstr>
      <vt:lpstr>Gold19</vt:lpstr>
      <vt:lpstr>'Client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kneibert</dc:creator>
  <cp:lastModifiedBy>Benjamin Clarke</cp:lastModifiedBy>
  <cp:lastPrinted>2025-10-28T12:40:16Z</cp:lastPrinted>
  <dcterms:created xsi:type="dcterms:W3CDTF">2021-09-16T22:10:20Z</dcterms:created>
  <dcterms:modified xsi:type="dcterms:W3CDTF">2025-10-28T12:41:04Z</dcterms:modified>
</cp:coreProperties>
</file>